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dmin\Desktop\Full Stack Software Developer Skills Bootcamp By CodeInstitute\Project\"/>
    </mc:Choice>
  </mc:AlternateContent>
  <bookViews>
    <workbookView minimized="1" xWindow="0" yWindow="0" windowWidth="11496" windowHeight="8496" firstSheet="1" activeTab="2"/>
  </bookViews>
  <sheets>
    <sheet name="Summary of Action Plan" sheetId="5" r:id="rId1"/>
    <sheet name="Sheet1" sheetId="7" r:id="rId2"/>
    <sheet name="Sheet2" sheetId="8" r:id="rId3"/>
    <sheet name="Property Procurement Module" sheetId="1" r:id="rId4"/>
    <sheet name="Construction Management Module" sheetId="2" r:id="rId5"/>
    <sheet name="Tenancy Management Module" sheetId="3" r:id="rId6"/>
    <sheet name="Property Maintenance Module" sheetId="4" r:id="rId7"/>
    <sheet name="data" sheetId="6" r:id="rId8"/>
  </sheets>
  <definedNames>
    <definedName name="Module">data!$G$1:$G$5</definedName>
  </definedNames>
  <calcPr calcId="162913"/>
  <pivotCaches>
    <pivotCache cacheId="0"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5" l="1"/>
  <c r="K4" i="5"/>
  <c r="K5" i="5"/>
  <c r="K6" i="5"/>
  <c r="K7" i="5"/>
  <c r="K8" i="5"/>
  <c r="K9" i="5"/>
  <c r="K10" i="5"/>
  <c r="K11" i="5"/>
  <c r="K12" i="5"/>
  <c r="K13" i="5"/>
  <c r="K14" i="5"/>
  <c r="K15" i="5"/>
  <c r="K16" i="5"/>
  <c r="K17" i="5"/>
  <c r="K18" i="5"/>
  <c r="K19" i="5"/>
  <c r="K20" i="5"/>
  <c r="K21" i="5"/>
  <c r="K2" i="5"/>
  <c r="M2" i="5" a="1"/>
  <c r="M2" i="5" s="1"/>
  <c r="M3" i="5" a="1"/>
  <c r="M3" i="5" s="1"/>
  <c r="M4" i="5" a="1"/>
  <c r="M4" i="5" s="1"/>
  <c r="M5" i="5" a="1"/>
  <c r="M5" i="5" s="1"/>
  <c r="M6" i="5" a="1"/>
  <c r="M6" i="5" s="1"/>
  <c r="M7" i="5" a="1"/>
  <c r="M7" i="5" s="1"/>
  <c r="M8" i="5" a="1"/>
  <c r="M8" i="5" s="1"/>
  <c r="M9" i="5" a="1"/>
  <c r="M9" i="5" s="1"/>
  <c r="M10" i="5" a="1"/>
  <c r="M10" i="5" s="1"/>
  <c r="M11" i="5" a="1"/>
  <c r="M11" i="5" s="1"/>
  <c r="M12" i="5" a="1"/>
  <c r="M12" i="5" s="1"/>
  <c r="M13" i="5" a="1"/>
  <c r="M13" i="5" s="1"/>
  <c r="M14" i="5" a="1"/>
  <c r="M14" i="5" s="1"/>
  <c r="M15" i="5" a="1"/>
  <c r="M15" i="5" s="1"/>
  <c r="M16" i="5" a="1"/>
  <c r="M16" i="5" s="1"/>
  <c r="M17" i="5" a="1"/>
  <c r="M17" i="5" s="1"/>
  <c r="M18" i="5" a="1"/>
  <c r="M18" i="5" s="1"/>
  <c r="M19" i="5" a="1"/>
  <c r="M19" i="5" s="1"/>
  <c r="M20" i="5" a="1"/>
  <c r="M20" i="5" s="1"/>
  <c r="M21" i="5" a="1"/>
  <c r="M21" i="5" s="1"/>
  <c r="L14" i="5" l="1" a="1"/>
  <c r="L14" i="5" s="1"/>
  <c r="L6" i="5" a="1"/>
  <c r="L6" i="5" s="1"/>
  <c r="L10" i="5" a="1"/>
  <c r="L10" i="5" s="1"/>
  <c r="L15" i="5" a="1"/>
  <c r="L15" i="5" s="1"/>
  <c r="A12" i="5"/>
  <c r="A13" i="5" s="1"/>
  <c r="A14" i="5" s="1"/>
  <c r="A15" i="5" s="1"/>
  <c r="A16" i="5" s="1"/>
  <c r="A17" i="5" s="1"/>
  <c r="A18" i="5" s="1"/>
  <c r="A19" i="5" s="1"/>
  <c r="A20" i="5" s="1"/>
  <c r="A21" i="5" s="1"/>
  <c r="L12" i="5" a="1"/>
  <c r="L12" i="5" s="1"/>
  <c r="L8" i="5" a="1"/>
  <c r="L8" i="5" s="1"/>
  <c r="L21" i="5" a="1"/>
  <c r="L21" i="5" s="1"/>
  <c r="L5" i="5" a="1"/>
  <c r="L5" i="5" s="1"/>
  <c r="L4" i="5" a="1"/>
  <c r="L4" i="5" s="1"/>
  <c r="L19" i="5" a="1"/>
  <c r="L19" i="5" s="1"/>
  <c r="A3" i="5"/>
  <c r="A4" i="5" s="1"/>
  <c r="A5" i="5" s="1"/>
  <c r="A6" i="5" s="1"/>
  <c r="A7" i="5" s="1"/>
  <c r="A8" i="5" s="1"/>
  <c r="A9" i="5" s="1"/>
  <c r="A10" i="5" s="1"/>
  <c r="A11" i="5" s="1"/>
  <c r="L3" i="5" a="1"/>
  <c r="L3" i="5" s="1"/>
  <c r="L17" i="5" a="1"/>
  <c r="L17" i="5" s="1"/>
  <c r="L16" i="5" a="1"/>
  <c r="L16" i="5" s="1"/>
  <c r="L13" i="5" a="1"/>
  <c r="L13" i="5" s="1"/>
  <c r="L11" i="5" a="1"/>
  <c r="L11" i="5" s="1"/>
  <c r="L9" i="5" a="1"/>
  <c r="L9" i="5" s="1"/>
  <c r="L7" i="5" a="1"/>
  <c r="L7" i="5" s="1"/>
  <c r="L20" i="5" a="1"/>
  <c r="L20" i="5" s="1"/>
  <c r="L18" i="5" a="1"/>
  <c r="L18" i="5" s="1"/>
  <c r="L2" i="5" a="1"/>
  <c r="L2" i="5" s="1"/>
</calcChain>
</file>

<file path=xl/sharedStrings.xml><?xml version="1.0" encoding="utf-8"?>
<sst xmlns="http://schemas.openxmlformats.org/spreadsheetml/2006/main" count="990" uniqueCount="541">
  <si>
    <t>Page/Section</t>
  </si>
  <si>
    <t>Description</t>
  </si>
  <si>
    <t>Form Fields</t>
  </si>
  <si>
    <t>Pagination</t>
  </si>
  <si>
    <t>Build Instruction/Guide</t>
  </si>
  <si>
    <t>Land Search and Selection</t>
  </si>
  <si>
    <t>Allow users to search for suitable land parcels.</t>
  </si>
  <si>
    <t>- Location (state, city, area) &lt;br&gt; - Size (min/max) &lt;br&gt; - Price (min/max) &lt;br&gt; - Terrain type &lt;br&gt; - Accessibility</t>
  </si>
  <si>
    <t>Yes (based on search results)</t>
  </si>
  <si>
    <t>Search and compare all possible advertised landed properties from the web. Implement validation measures to filter suspicious adverts.</t>
  </si>
  <si>
    <t>Property Verification</t>
  </si>
  <si>
    <t>Verify land ownership, legal status, and suitability.</t>
  </si>
  <si>
    <t>- Land ownership documents &lt;br&gt; - Legal status documents &lt;br&gt; - Survey reports</t>
  </si>
  <si>
    <t>No (Single page)</t>
  </si>
  <si>
    <t>Develop a tool to verify land ownership through official land registries. Cross-reference legal documents with government databases for authentication.</t>
  </si>
  <si>
    <t>Transaction Management</t>
  </si>
  <si>
    <t>Facilitate land purchase transactions.</t>
  </si>
  <si>
    <t>- Transaction details &lt;br&gt; - Buyer/seller information &lt;br&gt; - Payment details</t>
  </si>
  <si>
    <t>Yes (transaction history)</t>
  </si>
  <si>
    <t>Implement a secure payment gateway for smooth and safe transactions. Ensure all necessary documentation is provided and validated before finalizing transactions.</t>
  </si>
  <si>
    <t>- Approval tracking details &lt;br&gt; - Permit/license documents</t>
  </si>
  <si>
    <t>Create a system to track the progress of regulatory approvals in real-time. Integrate with relevant government agencies for automatic updates on permit status.</t>
  </si>
  <si>
    <t>Compliance Checklists</t>
  </si>
  <si>
    <t>- Compliance checklists &lt;br&gt; - Legal guidelines</t>
  </si>
  <si>
    <t>Develop comprehensive checklists based on local regulations and laws. Regularly update the checklists to reflect any changes in legal requirements.</t>
  </si>
  <si>
    <t>- Document storage &lt;br&gt; - Categorization of documents</t>
  </si>
  <si>
    <t>Design a secure document management system with encryption and access controls. Organize documents into categories for easy retrieval and management.</t>
  </si>
  <si>
    <t>Budgeting and Cost Estimation</t>
  </si>
  <si>
    <t>Develop budgeting and cost estimation tools that consider factors like material costs, labor expenses, and unforeseen contingencies.</t>
  </si>
  <si>
    <t>Timeline and Milestones</t>
  </si>
  <si>
    <t>Create a timeline management system with customizable features for setting milestones and tracking progress. Ensure integration with calendar applications for reminders.</t>
  </si>
  <si>
    <t>Resource Allocation</t>
  </si>
  <si>
    <t>Implement resource allocation algorithms to optimize resource usage and minimize waste. Integrate with inventory tracking systems for real-time updates on stock levels.</t>
  </si>
  <si>
    <t>Inventory Tracking</t>
  </si>
  <si>
    <t>Procurement Automation</t>
  </si>
  <si>
    <t>Quality Control</t>
  </si>
  <si>
    <t>Listing Creation</t>
  </si>
  <si>
    <t>Tenant Screening</t>
  </si>
  <si>
    <t>Lease Agreement Generation</t>
  </si>
  <si>
    <t>Messaging Platform</t>
  </si>
  <si>
    <t>Notification System</t>
  </si>
  <si>
    <t xml:space="preserve"> Land Acquisition Submodule</t>
  </si>
  <si>
    <t>Legal and Regulatory Compliance Submodule</t>
  </si>
  <si>
    <t>Submodule</t>
  </si>
  <si>
    <t>Regulatory Approval Tracking</t>
  </si>
  <si>
    <t>Track the progress of regulatory approvals, permits, and licenses required for land development.</t>
  </si>
  <si>
    <t>No</t>
  </si>
  <si>
    <t>Provide checklists and guidelines for ensuring legal compliance throughout the procurement process.</t>
  </si>
  <si>
    <t>Legal Documentation Management</t>
  </si>
  <si>
    <t>Store and manage legal documents related to land ownership, permits, and agreements.</t>
  </si>
  <si>
    <t>Assist users in creating project budgets and estimating construction costs.</t>
  </si>
  <si>
    <t>- Project name &lt;br&gt; - Budget period &lt;br&gt; - Material costs &lt;br&gt; - Labor costs &lt;br&gt; - Equipment costs &lt;br&gt; - Contingency costs</t>
  </si>
  <si>
    <t>Set project timelines, milestones, and deliverables to track progress.</t>
  </si>
  <si>
    <t>- Project milestones &lt;br&gt; - Timeline tasks &lt;br&gt; - Start and end dates for tasks &lt;br&gt; - Task dependencies</t>
  </si>
  <si>
    <t>Manage resources such as materials, equipment, and labor for construction projects.</t>
  </si>
  <si>
    <t>- Material inventory &lt;br&gt; - Equipment inventory &lt;br&gt; - Labor availability &lt;br&gt; - Resource utilization reports</t>
  </si>
  <si>
    <t>Material Management</t>
  </si>
  <si>
    <t>Capture and monitor all buying activities related to materials, including usage and suppliers.</t>
  </si>
  <si>
    <t>- Material category &lt;br&gt; - Material subcategory &lt;br&gt; - Material name &lt;br&gt; - Quantity purchased &lt;br&gt; - Supplier details</t>
  </si>
  <si>
    <t>Yes (for large volumes)</t>
  </si>
  <si>
    <t>Develop a comprehensive system to capture and monitor all material procurement activities, including purchases, usage, and supplier information.</t>
  </si>
  <si>
    <t>Labor Management</t>
  </si>
  <si>
    <t>Handle labor recruitment and monitor progress reports for each laborer.</t>
  </si>
  <si>
    <t>- Laborer name &lt;br&gt; - Laborer position &lt;br&gt; - Recruitment date &lt;br&gt; - Daily progress reports</t>
  </si>
  <si>
    <t>Implement a labor management system to handle recruitment processes and track the progress of each laborer.</t>
  </si>
  <si>
    <t>Equipment Management</t>
  </si>
  <si>
    <t>Manage equipment and establish maintenance culture.</t>
  </si>
  <si>
    <t>- Equipment name &lt;br&gt; - Equipment category &lt;br&gt; - Equipment condition &lt;br&gt; - Maintenance schedules</t>
  </si>
  <si>
    <t>Develop an equipment management system to track equipment inventory and establish maintenance schedules. Ensure regular maintenance to prolong equipment lifespan.</t>
  </si>
  <si>
    <t>Construction Management Module</t>
  </si>
  <si>
    <t>Material and Equipment Management Submodule:</t>
  </si>
  <si>
    <t>Track inventory levels of construction materials and equipment.</t>
  </si>
  <si>
    <t>- Material category &lt;br&gt; - Material subcategory &lt;br&gt; - Material name &lt;br&gt; - Quantity in stock &lt;br&gt; - Supplier details &lt;br&gt; - Last restock date</t>
  </si>
  <si>
    <t>Yes (for large inventories)</t>
  </si>
  <si>
    <t>Develop a system to track inventory levels of materials and equipment. Implement alerts for low stock levels and automate restocking processes.</t>
  </si>
  <si>
    <t>Automate the procurement process for materials and equipment.</t>
  </si>
  <si>
    <t>- Material requisition details &lt;br&gt; - Approval workflows &lt;br&gt; - Purchase orders &lt;br&gt; - Delivery tracking</t>
  </si>
  <si>
    <t>Develop an automated procurement system to streamline the process of material requisition, approval, purchase order generation, and delivery tracking.</t>
  </si>
  <si>
    <t>Implement quality control measures to ensure the use of high-quality materials and equipment.</t>
  </si>
  <si>
    <t>- Quality inspection checklist &lt;br&gt; - Inspection reports &lt;br&gt; - Non-conformance reports</t>
  </si>
  <si>
    <t>Establish quality control procedures and implement inspections at key stages of material and equipment usage. Generate reports for non-conformance issues.</t>
  </si>
  <si>
    <t>Property Listing Submodule</t>
  </si>
  <si>
    <t>Allow users to create detailed property listings with descriptions, photos, and rental terms.</t>
  </si>
  <si>
    <t>- Property details (address, size, amenities) &lt;br&gt; - Description &lt;br&gt; - Photos &lt;br&gt; - Rental terms</t>
  </si>
  <si>
    <t>Develop a user-friendly interface for property owners to input listing details and upload photos. Ensure integration with photo upload tools for easy image uploads.</t>
  </si>
  <si>
    <t>Provide tools for screening potential tenants, including background checks and credit assessments.</t>
  </si>
  <si>
    <t>- Tenant personal information (name, contact details) &lt;br&gt; - Background check reports &lt;br&gt; - Credit assessment reports</t>
  </si>
  <si>
    <t>Implement integrations with background check services and credit assessment agencies for automated screening processes.</t>
  </si>
  <si>
    <t>Generate lease agreements tailored to specific rental properties and tenants.</t>
  </si>
  <si>
    <t>- Property details (address, size) &lt;br&gt; - Tenant details (name, contact details) &lt;br&gt; - Lease terms</t>
  </si>
  <si>
    <t>Develop templates for lease agreements that can be customized based on property and tenant details. Integrate with e-signature platforms for digital signing.</t>
  </si>
  <si>
    <t>Tenant Communication Submodule</t>
  </si>
  <si>
    <t>Enable communication between landlords and tenants for inquiries, maintenance requests, and rent payments.</t>
  </si>
  <si>
    <t>- Message inbox &lt;br&gt; - Message composition &lt;br&gt; - Attachment support</t>
  </si>
  <si>
    <t>Yes</t>
  </si>
  <si>
    <t>Implement a messaging system with real-time messaging capabilities and notifications for new messages. Ensure encryption and data security measures for privacy.</t>
  </si>
  <si>
    <t>Send notifications to landlords and tenants regarding lease renewals, maintenance schedules, and other important updates.</t>
  </si>
  <si>
    <t>- Notification settings &lt;br&gt; - Scheduled notifications &lt;br&gt; - Event-based notifications</t>
  </si>
  <si>
    <t>Develop a notification system with customizable settings for landlords and tenants to receive timely updates on lease-related events and maintenance schedules.</t>
  </si>
  <si>
    <t>Document Sharing</t>
  </si>
  <si>
    <t>Facilitate the sharing of documents such as lease agreements, inspection reports, and rent receipts.</t>
  </si>
  <si>
    <t>- Document upload &lt;br&gt; - Document categorization &lt;br&gt; - Sharing options</t>
  </si>
  <si>
    <t>Create a secure document management system for uploading, categorizing, and sharing lease-related documents between landlords and tenants. Ensure access controls.</t>
  </si>
  <si>
    <t>Routine Maintenance Submodule</t>
  </si>
  <si>
    <t>Maintenance Scheduling</t>
  </si>
  <si>
    <t>Schedule routine maintenance tasks such as cleaning, landscaping, and repairs.</t>
  </si>
  <si>
    <t>- Maintenance task list &lt;br&gt; - Schedule/calendar &lt;br&gt; - Task assignment</t>
  </si>
  <si>
    <t>Develop a scheduling system with customizable task lists and automated reminders for routine maintenance activities. Ensure task assignment features for assigning tasks to maintenance staff.</t>
  </si>
  <si>
    <t>Vendor Management</t>
  </si>
  <si>
    <t>Manage relationships with maintenance vendors and contractors for service delivery.</t>
  </si>
  <si>
    <t>- Vendor/contractor details &lt;br&gt; - Service contracts &lt;br&gt; - Service history</t>
  </si>
  <si>
    <t>Establish a vendor management system to store vendor details, track service contracts, and maintain records of service history. Ensure communication channels for effective vendor management.</t>
  </si>
  <si>
    <t>Maintenance History Tracking</t>
  </si>
  <si>
    <t>Maintain records of past maintenance activities and inspections for each property.</t>
  </si>
  <si>
    <t>- Maintenance log &lt;br&gt; - Inspection reports &lt;br&gt; - Maintenance history</t>
  </si>
  <si>
    <t>Develop a comprehensive maintenance tracking system to record all maintenance activities and inspections. Implement categorization features for easy retrieval and analysis of maintenance history.</t>
  </si>
  <si>
    <t>Emergency Response Submodule</t>
  </si>
  <si>
    <t>Emergency Contact Information</t>
  </si>
  <si>
    <t>Provide emergency contact information for tenants to report urgent maintenance issues.</t>
  </si>
  <si>
    <t>- Emergency contact details &lt;br&gt; - Reporting channels &lt;br&gt; - Incident logging</t>
  </si>
  <si>
    <t>Create a centralized repository of emergency contact information and establish clear reporting channels for tenants to report urgent maintenance issues. Ensure incident logging for tracking and resolution.</t>
  </si>
  <si>
    <t>Emergency Procedures</t>
  </si>
  <si>
    <t>Outline emergency procedures for both tenants and property managers in case of emergencies such as fire, flood, or natural disasters.</t>
  </si>
  <si>
    <t>- Emergency response protocols &lt;br&gt; - Evacuation plans &lt;br&gt; - Contact lists</t>
  </si>
  <si>
    <t>Develop detailed emergency response protocols and evacuation plans for various scenarios. Establish contact lists for emergency responders and ensure regular training on emergency procedures.</t>
  </si>
  <si>
    <t>24/7 Support</t>
  </si>
  <si>
    <t>Offer round-the-clock support for emergency maintenance requests and assistance.</t>
  </si>
  <si>
    <t>- Support hotline &lt;br&gt; - Online support portal &lt;br&gt; - Ticketing system</t>
  </si>
  <si>
    <t>Implement a support system with 24/7 availability through hotline, online portal, or ticketing system. Ensure prompt response to emergency maintenance requests and efficient resolution of issues.</t>
  </si>
  <si>
    <t>Activity Pillar</t>
  </si>
  <si>
    <t>Action</t>
  </si>
  <si>
    <t>Event</t>
  </si>
  <si>
    <t>Timeline</t>
  </si>
  <si>
    <t>Status</t>
  </si>
  <si>
    <t>Initial Setup</t>
  </si>
  <si>
    <t>Set up project repositories</t>
  </si>
  <si>
    <t>Create repositories on GitHub for version control</t>
  </si>
  <si>
    <t>Week 1</t>
  </si>
  <si>
    <t>Configure development environments</t>
  </si>
  <si>
    <t>Set up Python, Express.js, PostgreSQL, and Docker environments</t>
  </si>
  <si>
    <t>Backend Development</t>
  </si>
  <si>
    <t>Develop backend APIs</t>
  </si>
  <si>
    <t>Create Express.js routes and controller functions for search queries</t>
  </si>
  <si>
    <t>Week 2-3</t>
  </si>
  <si>
    <t>Integrate PostgreSQL database</t>
  </si>
  <si>
    <t>Define schemas and implement CRUD operations for land parcel data</t>
  </si>
  <si>
    <t>Implement Docker containers</t>
  </si>
  <si>
    <t>Set up Docker containers for backend services</t>
  </si>
  <si>
    <t>Week 3</t>
  </si>
  <si>
    <t>Agile Implementation</t>
  </si>
  <si>
    <t>Adopt Agile methodologies</t>
  </si>
  <si>
    <t>Choose Agile framework (e.g., Scrum, Kanban) and establish development processes</t>
  </si>
  <si>
    <t>Break down user stories</t>
  </si>
  <si>
    <t>Identify and prioritize features for land search and selection</t>
  </si>
  <si>
    <t>Week 1-2</t>
  </si>
  <si>
    <t>Use project management tools</t>
  </si>
  <si>
    <t>Set up project board on Jira or Trello for task tracking and sprint planning</t>
  </si>
  <si>
    <t>MVP Development</t>
  </si>
  <si>
    <t>Implement basic search functionality</t>
  </si>
  <si>
    <t>Develop basic keyword search functionality</t>
  </si>
  <si>
    <t>Week 4-5</t>
  </si>
  <si>
    <t>Pending</t>
  </si>
  <si>
    <t>Integrate advanced search filters</t>
  </si>
  <si>
    <t>Add filters for location, size range, price range, and terrain type</t>
  </si>
  <si>
    <t>Week 6-7</t>
  </si>
  <si>
    <t>Implement web scraping tools</t>
  </si>
  <si>
    <t>Utilize web scraping libraries to fetch land parcel data from external sources</t>
  </si>
  <si>
    <t>Week 8-9</t>
  </si>
  <si>
    <t>Implement data validation measures</t>
  </si>
  <si>
    <t>Implement validation checks to filter out suspicious or irrelevant adverts</t>
  </si>
  <si>
    <t>Week 10-11</t>
  </si>
  <si>
    <t>Data Security &amp; Compliance</t>
  </si>
  <si>
    <t>Implement encryption mechanisms</t>
  </si>
  <si>
    <t>Secure sensitive user data with encryption techniques</t>
  </si>
  <si>
    <t>Week 12-13</t>
  </si>
  <si>
    <t>Ensure GDPR compliance</t>
  </si>
  <si>
    <t>Implement measures to anonymize user data and obtain consent for data processing</t>
  </si>
  <si>
    <t>Week 14-15</t>
  </si>
  <si>
    <t>Implement user authentication</t>
  </si>
  <si>
    <t>Set up authentication mechanisms to control access to search functionality</t>
  </si>
  <si>
    <t>Week 16-17</t>
  </si>
  <si>
    <t>Testing &amp; Quality Assurance</t>
  </si>
  <si>
    <t>Develop and execute test cases</t>
  </si>
  <si>
    <t>Write test cases to validate search functionality and data retrieval</t>
  </si>
  <si>
    <t>Week 18-19</t>
  </si>
  <si>
    <t>Conduct integration tests</t>
  </si>
  <si>
    <t>Verify data consistency between backend database and external sources</t>
  </si>
  <si>
    <t>Week 20-21</t>
  </si>
  <si>
    <t>Perform usability testing</t>
  </si>
  <si>
    <t>Gather feedback from real users to improve user experience</t>
  </si>
  <si>
    <t>Week 22-23</t>
  </si>
  <si>
    <t>Deployment &amp; Monitoring</t>
  </si>
  <si>
    <t>Deploy application locally using Docker</t>
  </si>
  <si>
    <t>Set up Docker containers for local development and testing</t>
  </si>
  <si>
    <t>Week 24-25</t>
  </si>
  <si>
    <t>Set up logging and monitoring tools</t>
  </si>
  <si>
    <t>Configure logging and monitoring tools to track search performance and identify issues</t>
  </si>
  <si>
    <t>Week 26-27</t>
  </si>
  <si>
    <t>Land Acquisition Module</t>
  </si>
  <si>
    <t>Tenancy Management Module</t>
  </si>
  <si>
    <t>Project Planning</t>
  </si>
  <si>
    <t>Material and Equipment Management</t>
  </si>
  <si>
    <t>Property Listing</t>
  </si>
  <si>
    <t>Tenant Communication</t>
  </si>
  <si>
    <t>Property Maintenance</t>
  </si>
  <si>
    <t>module</t>
  </si>
  <si>
    <t>submodule</t>
  </si>
  <si>
    <t>Module</t>
  </si>
  <si>
    <t>page</t>
  </si>
  <si>
    <t>status</t>
  </si>
  <si>
    <t>Land Search Page</t>
  </si>
  <si>
    <t>Land Selection Page</t>
  </si>
  <si>
    <t>Property Ownership Check</t>
  </si>
  <si>
    <t>Legal Status Verification</t>
  </si>
  <si>
    <t>Document Preparation</t>
  </si>
  <si>
    <t>Payment Processing</t>
  </si>
  <si>
    <t>Legal and Regulatory Compliance</t>
  </si>
  <si>
    <t>Permit Tracking</t>
  </si>
  <si>
    <t>License Tracking</t>
  </si>
  <si>
    <t>Legal Compliance Checklist</t>
  </si>
  <si>
    <t>Regulatory Compliance List</t>
  </si>
  <si>
    <t>Land Ownership Documents</t>
  </si>
  <si>
    <t>Permit Documents</t>
  </si>
  <si>
    <t>Budgeting</t>
  </si>
  <si>
    <t>Timeline Management</t>
  </si>
  <si>
    <t>Quality Inspection</t>
  </si>
  <si>
    <t>Compliance Checks</t>
  </si>
  <si>
    <t>Listing Management</t>
  </si>
  <si>
    <t>Routine Maintenance</t>
  </si>
  <si>
    <t>Emergency Response</t>
  </si>
  <si>
    <t>Completed</t>
  </si>
  <si>
    <t>Page</t>
  </si>
  <si>
    <t>Completion Date</t>
  </si>
  <si>
    <t>ID</t>
  </si>
  <si>
    <t>Sub-Module</t>
  </si>
  <si>
    <t>submodule range</t>
  </si>
  <si>
    <t>page range</t>
  </si>
  <si>
    <t>SubModule</t>
  </si>
  <si>
    <t>Expected Completion Date</t>
  </si>
  <si>
    <t>Pages</t>
  </si>
  <si>
    <t>User Management</t>
  </si>
  <si>
    <t>Authentication</t>
  </si>
  <si>
    <t>Login, Registration, Forgot Password, Reset Password, Email Verification</t>
  </si>
  <si>
    <t>User Roles</t>
  </si>
  <si>
    <t>Manage Roles, Assign Roles to Users, Role Permissions, Role Hierarchy</t>
  </si>
  <si>
    <t>User Profile</t>
  </si>
  <si>
    <t>View Profile, Edit Profile, Change Password, Manage Security Settings, Activity Log</t>
  </si>
  <si>
    <t>Client Management</t>
  </si>
  <si>
    <t>Client Information</t>
  </si>
  <si>
    <t>Client List, Client Details, Add New Client, Search Clients, Import Clients</t>
  </si>
  <si>
    <t>Case Management</t>
  </si>
  <si>
    <t>Case List, Case Details, Add New Case, Case Notes, Case Attachments</t>
  </si>
  <si>
    <t>Document Management</t>
  </si>
  <si>
    <t>Document List, Upload Document, View Document, Document Templates, Document Sharing</t>
  </si>
  <si>
    <t>Payment Gateway</t>
  </si>
  <si>
    <t>Payment Form, Payment Confirmation, Invoice, Payment History, Refund Requests</t>
  </si>
  <si>
    <t>Subscription Plans</t>
  </si>
  <si>
    <t>Plan Selection, Subscription Details, Payment History, Upgrade Plan, Downgrade Plan</t>
  </si>
  <si>
    <t>Billing Management</t>
  </si>
  <si>
    <t>Billing Summary, Invoice Generation, Payment History, Payment Receipts, Payment Reminders</t>
  </si>
  <si>
    <t>Legal Services</t>
  </si>
  <si>
    <t>Visa Consultation</t>
  </si>
  <si>
    <t>Visa Types Overview, Consultation Request Form, Visa Application Guidelines, Visa Appointment Scheduling, Visa Status Tracking</t>
  </si>
  <si>
    <t>Immigration Policies</t>
  </si>
  <si>
    <t>Policy Summary, Eligibility Criteria, Application Procedures, Policy Updates, Policy FAQs</t>
  </si>
  <si>
    <t>Legal Documents</t>
  </si>
  <si>
    <t>Document Library, Download Forms, Legal Agreements, Document Requests, Document Verification</t>
  </si>
  <si>
    <t>AI Integration</t>
  </si>
  <si>
    <t>Chatbot Assistance</t>
  </si>
  <si>
    <t>Virtual Assistant, FAQ Integration, Live Chat, Chatbot Analytics, Chatbot Customization</t>
  </si>
  <si>
    <t>Document Analysis</t>
  </si>
  <si>
    <t>AI Document Scanner, Text Recognition, Document Verification, Document Classification, Document Extraction</t>
  </si>
  <si>
    <t>Migration Prediction</t>
  </si>
  <si>
    <t>AI Prediction Models, Visa Success Probability Analysis, Immigration Trends, Visa Application Assistance, Immigration Consulting</t>
  </si>
  <si>
    <t>Reporting</t>
  </si>
  <si>
    <t>Case Reports</t>
  </si>
  <si>
    <t>Case Summary Report, Case Status Report, Case History Report, Case Trend Analysis, Case Performance Metrics</t>
  </si>
  <si>
    <t>Client Reports</t>
  </si>
  <si>
    <t>Client Summary Report, Client Activity Report, Client Profile Report, Client Engagement Analysis, Client Satisfaction Survey</t>
  </si>
  <si>
    <t>Settings</t>
  </si>
  <si>
    <t>General Settings</t>
  </si>
  <si>
    <t>System Configuration, Email Notification Settings, Theme Customization, Security Settings, Data Backup</t>
  </si>
  <si>
    <t>User Preferences</t>
  </si>
  <si>
    <t>Notification Preferences, Language Preferences, Accessibility Settings, User Interface Preferences, Account Privacy Settings</t>
  </si>
  <si>
    <t>Dashboard</t>
  </si>
  <si>
    <t>Overview</t>
  </si>
  <si>
    <t>Dashboard Overview, Key Metrics, Quick Links, Performance Dashboard, User Activity Dashboard</t>
  </si>
  <si>
    <t>Analytics</t>
  </si>
  <si>
    <t>User Activity Analytics, Case Progress Analytics, Document Upload Analytics, Payment Analytics, Customer Engagement Analytics</t>
  </si>
  <si>
    <t>Tools Needed</t>
  </si>
  <si>
    <t>Step-by-Step Guide</t>
  </si>
  <si>
    <t>Login</t>
  </si>
  <si>
    <t>HTML, CSS, JavaScript, Python, SQL</t>
  </si>
  <si>
    <t>1. HTML: Create form &lt;br&gt; 2. CSS: Style form elements &lt;br&gt; 3. JavaScript: Validate inputs &lt;br&gt; 4. Python: Handle authentication logic &lt;br&gt; 5. SQL: Verify credentials &lt;br&gt; 6. Integration: Connect front-end to back-end</t>
  </si>
  <si>
    <t>5-7 days</t>
  </si>
  <si>
    <t>Registration</t>
  </si>
  <si>
    <t>1. HTML: Design registration form &lt;br&gt; 2. CSS: Style form elements &lt;br&gt; 3. JavaScript: Validate inputs &lt;br&gt; 4. Python: Handle registration logic &lt;br&gt; 5. SQL: Insert user data &lt;br&gt; 6. Integration: Connect front-end to back-end</t>
  </si>
  <si>
    <t>Dashboard Overview</t>
  </si>
  <si>
    <t>1. HTML: Design dashboard layout &lt;br&gt; 2. CSS: Style components &lt;br&gt; 3. JavaScript: Implement charts &lt;br&gt; 4. Python: Fetch data &lt;br&gt; 5. SQL: Retrieve data &lt;br&gt; 6. Integration: Connect front-end to back-end</t>
  </si>
  <si>
    <t>7-10 days</t>
  </si>
  <si>
    <t>1. HTML: Create consultation form &lt;br&gt; 2. CSS: Style form &lt;br&gt; 3. JavaScript: Validate inputs &lt;br&gt; 4. Python: Process requests &lt;br&gt; 5. SQL: Store consultation data &lt;br&gt; 6. Integration: Connect front-end to back-end</t>
  </si>
  <si>
    <t>7-9 days</t>
  </si>
  <si>
    <t>1. HTML: Design chat interface &lt;br&gt; 2. CSS: Style chat window &lt;br&gt; 3. JavaScript: Implement chat functionality &lt;br&gt; 4. Python: Develop chatbot logic &lt;br&gt; 5. SQL: Store chat history &lt;br&gt; 6. Integration: Connect front-end to back-end</t>
  </si>
  <si>
    <t>1. HTML: Design payment form &lt;br&gt; 2. CSS: Style form elements &lt;br&gt; 3. JavaScript: Validate inputs &lt;br&gt; 4. Python: Handle payment processing &lt;br&gt; 5. SQL: Store payment details &lt;br&gt; 6. Integration: Connect front-end to payment gateway</t>
  </si>
  <si>
    <t>1. HTML: Create legal services page &lt;br&gt; 2. CSS: Style page layout &lt;br&gt; 3. JavaScript: Implement interactive elements &lt;br&gt; 4. Python: Backend logic for legal services &lt;br&gt; 5. SQL: Store legal documents and information &lt;br&gt; 6. Integration: Connect front-end to back-end</t>
  </si>
  <si>
    <t>Document Verification</t>
  </si>
  <si>
    <t>1. HTML: Design document verification form &lt;br&gt; 2. CSS: Style form elements &lt;br&gt; 3. JavaScript: Implement file upload functionality &lt;br&gt; 4. Python: Verify uploaded documents &lt;br&gt; 5. SQL: Store verification results &lt;br&gt; 6. Integration: Connect front-end to back-end</t>
  </si>
  <si>
    <t>AI-powered Recommendations</t>
  </si>
  <si>
    <t>1. HTML: Design recommendation interface &lt;br&gt; 2. CSS: Style components &lt;br&gt; 3. JavaScript: Implement user profiling &lt;br&gt; 4. Python: Develop AI recommendation algorithm &lt;br&gt; 5. SQL: Store user preferences &lt;br&gt; 6. Integration: Connect front-end to back-end and AI service</t>
  </si>
  <si>
    <t>10-14 days</t>
  </si>
  <si>
    <t>HTML</t>
  </si>
  <si>
    <t>CSS</t>
  </si>
  <si>
    <t>JavaScript</t>
  </si>
  <si>
    <t>Python</t>
  </si>
  <si>
    <t>SQL</t>
  </si>
  <si>
    <t>Create payment form</t>
  </si>
  <si>
    <t>Style form elements</t>
  </si>
  <si>
    <t>Implement client-side validation</t>
  </si>
  <si>
    <t>Set up server-side payment processing logic</t>
  </si>
  <si>
    <t>Design database schema for payment details</t>
  </si>
  <si>
    <t>Outline legal services</t>
  </si>
  <si>
    <t>Style page layout</t>
  </si>
  <si>
    <t>Implement interactive elements</t>
  </si>
  <si>
    <t>Develop backend logic for legal services</t>
  </si>
  <si>
    <t>Store legal documents in a secure database</t>
  </si>
  <si>
    <t>Design document upload interface</t>
  </si>
  <si>
    <t>Style file upload form</t>
  </si>
  <si>
    <t>Implement file upload functionality</t>
  </si>
  <si>
    <t>Develop script to verify uploaded documents</t>
  </si>
  <si>
    <t>Store verification results in database</t>
  </si>
  <si>
    <t>Create interface for personalized recommendations</t>
  </si>
  <si>
    <t>Style recommendation interface</t>
  </si>
  <si>
    <t>Implement user profiling mechanisms</t>
  </si>
  <si>
    <t>Develop AI recommendation algorithm</t>
  </si>
  <si>
    <t>Store user profiles and interaction data</t>
  </si>
  <si>
    <t>Page Name</t>
  </si>
  <si>
    <t>Fields/Attributes</t>
  </si>
  <si>
    <t>Username, Password</t>
  </si>
  <si>
    <t>Full Name, Email Address, Username, Password, Confirm Password</t>
  </si>
  <si>
    <t>Forgot Password</t>
  </si>
  <si>
    <t>Email Address</t>
  </si>
  <si>
    <t>Reset Password</t>
  </si>
  <si>
    <t>New Password, Confirm New Password</t>
  </si>
  <si>
    <t>Email Verification</t>
  </si>
  <si>
    <t>Verification Code</t>
  </si>
  <si>
    <t>Manage Roles</t>
  </si>
  <si>
    <t>Role Name, Description</t>
  </si>
  <si>
    <t>Assign Roles to Users</t>
  </si>
  <si>
    <t>User, Role</t>
  </si>
  <si>
    <t>Role Permissions</t>
  </si>
  <si>
    <t>Role, Permission</t>
  </si>
  <si>
    <t>Role Hierarchy</t>
  </si>
  <si>
    <t>Parent Role, Child Role</t>
  </si>
  <si>
    <t>View Profile</t>
  </si>
  <si>
    <t>Full Name, Email Address, Username, Role, Profile Picture</t>
  </si>
  <si>
    <t>Edit Profile</t>
  </si>
  <si>
    <t>Full Name, Email Address, Username, Profile Picture</t>
  </si>
  <si>
    <t>Change Password</t>
  </si>
  <si>
    <t>Current Password, New Password, Confirm New Password</t>
  </si>
  <si>
    <t>Manage Security Settings</t>
  </si>
  <si>
    <t>Two-Factor Authentication, Security Questions</t>
  </si>
  <si>
    <t>Activity Log</t>
  </si>
  <si>
    <t>Timestamp, Action, User</t>
  </si>
  <si>
    <t>Client List</t>
  </si>
  <si>
    <t>Client ID, Full Name, Email Address, Phone Number</t>
  </si>
  <si>
    <t>Client Details</t>
  </si>
  <si>
    <t>Client ID, Full Name, Email Address, Phone Number, Address</t>
  </si>
  <si>
    <t>Add New Client</t>
  </si>
  <si>
    <t>Full Name, Email Address, Phone Number, Address</t>
  </si>
  <si>
    <t>Search Clients</t>
  </si>
  <si>
    <t>Search Query</t>
  </si>
  <si>
    <t>Import Clients</t>
  </si>
  <si>
    <t>CSV File</t>
  </si>
  <si>
    <t>Case List</t>
  </si>
  <si>
    <t>Case ID, Client, Status, Assigned User</t>
  </si>
  <si>
    <t>Case Details</t>
  </si>
  <si>
    <t>Case ID, Client, Status, Assigned User, Description</t>
  </si>
  <si>
    <t>Add New Case</t>
  </si>
  <si>
    <t>Client, Description</t>
  </si>
  <si>
    <t>Case Notes</t>
  </si>
  <si>
    <t>Note, Timestamp</t>
  </si>
  <si>
    <t>Case Attachments</t>
  </si>
  <si>
    <t>Attachment</t>
  </si>
  <si>
    <t>Document List</t>
  </si>
  <si>
    <t>Document ID, Document Name, Category, Uploaded By</t>
  </si>
  <si>
    <t>Upload Document</t>
  </si>
  <si>
    <t>Document, Category</t>
  </si>
  <si>
    <t>View Document</t>
  </si>
  <si>
    <t>Document ID</t>
  </si>
  <si>
    <t>Document Templates</t>
  </si>
  <si>
    <t>Template Name, Category</t>
  </si>
  <si>
    <t>Document ID, Recipient</t>
  </si>
  <si>
    <t>Payment Form</t>
  </si>
  <si>
    <t>Card Number, Expiry Date, CVV</t>
  </si>
  <si>
    <t>Payment Confirmation</t>
  </si>
  <si>
    <t>Payment ID, Amount, Date</t>
  </si>
  <si>
    <t>Invoice</t>
  </si>
  <si>
    <t>Invoice Number, Date, Amount</t>
  </si>
  <si>
    <t>Payment History</t>
  </si>
  <si>
    <t>Payment ID, Date, Amount, Status</t>
  </si>
  <si>
    <t>Refund Requests</t>
  </si>
  <si>
    <t>Request ID, Date, Amount, Reason</t>
  </si>
  <si>
    <t>Plan Selection</t>
  </si>
  <si>
    <t>Plan Type, Duration</t>
  </si>
  <si>
    <t>Subscription Details</t>
  </si>
  <si>
    <t>Plan Type, Start Date, End Date</t>
  </si>
  <si>
    <t>Upgrade Plan</t>
  </si>
  <si>
    <t>New Plan Type</t>
  </si>
  <si>
    <t>Downgrade Plan</t>
  </si>
  <si>
    <t>Billing Summary</t>
  </si>
  <si>
    <t>Total Revenue, Total Expenses, Profit/Loss</t>
  </si>
  <si>
    <t>Invoice Generation</t>
  </si>
  <si>
    <t>Payment Receipts</t>
  </si>
  <si>
    <t>Payment ID, Date, Amount</t>
  </si>
  <si>
    <t>Payment Reminders</t>
  </si>
  <si>
    <t>Invoice Number,</t>
  </si>
  <si>
    <t>Visa Types Overview</t>
  </si>
  <si>
    <t>Consultation Request Form, Visa Application Guidelines, Visa Appointment Scheduling, Visa Status Tracking</t>
  </si>
  <si>
    <t>Policy Summary</t>
  </si>
  <si>
    <t>Eligibility Criteria, Application Procedures, Policy Updates, Policy FAQs</t>
  </si>
  <si>
    <t>Document Library</t>
  </si>
  <si>
    <t>Download Forms, Legal Agreements, Document Requests, Document Verification</t>
  </si>
  <si>
    <t>Virtual Assistant</t>
  </si>
  <si>
    <t>FAQ Integration, Live Chat, Chatbot Analytics, Chatbot Customization</t>
  </si>
  <si>
    <t>AI Document Scanner</t>
  </si>
  <si>
    <t>Text Recognition, Document Verification, Document Classification, Document Extraction</t>
  </si>
  <si>
    <t>AI Prediction Models</t>
  </si>
  <si>
    <t>Visa Success Probability Analysis, Immigration Trends, Visa Application Assistance, Immigration Consulting</t>
  </si>
  <si>
    <t>Case Summary Report</t>
  </si>
  <si>
    <t>Case Status Report, Case History Report, Case Trend Analysis, Case Performance Metrics</t>
  </si>
  <si>
    <t>Client Summary Report</t>
  </si>
  <si>
    <t>Client Activity Report, Client Profile Report, Client Engagement Analysis, Client Satisfaction Survey</t>
  </si>
  <si>
    <t>System Configuration</t>
  </si>
  <si>
    <t>Email Notification Settings, Theme Customization, Security Settings, Data Backup</t>
  </si>
  <si>
    <t>Notification Preferences</t>
  </si>
  <si>
    <t>Language Preferences, Accessibility Settings, User Interface Preferences, Account Privacy Settings</t>
  </si>
  <si>
    <t>Key Metrics, Quick Links, Performance Dashboard, User Activity Dashboard</t>
  </si>
  <si>
    <t>User Activity Analytics</t>
  </si>
  <si>
    <t>Case Progress Analytics, Document Upload Analytics, Payment Analytics, Customer Engagement Analytics</t>
  </si>
  <si>
    <t>Phase</t>
  </si>
  <si>
    <t>Task</t>
  </si>
  <si>
    <t>Event Handler</t>
  </si>
  <si>
    <t>Time Frame</t>
  </si>
  <si>
    <t>Project Setup</t>
  </si>
  <si>
    <t>Project Setup and Version Control</t>
  </si>
  <si>
    <t>Create GitHub repository for project</t>
  </si>
  <si>
    <t>Project Manager, Development Team</t>
  </si>
  <si>
    <t>1 day</t>
  </si>
  <si>
    <t>Initialize repository with README file</t>
  </si>
  <si>
    <t>1 hour</t>
  </si>
  <si>
    <t>Set up branches for development environments</t>
  </si>
  <si>
    <t>Collaborate using Git for version control</t>
  </si>
  <si>
    <t>Development Team, Project Manager</t>
  </si>
  <si>
    <t>Ongoing</t>
  </si>
  <si>
    <t>Design &amp; Planning</t>
  </si>
  <si>
    <t>Design and Planning</t>
  </si>
  <si>
    <t>Define project goals, objectives, and scope</t>
  </si>
  <si>
    <t>Project Manager, Stakeholders</t>
  </si>
  <si>
    <t>1-2 days</t>
  </si>
  <si>
    <t>Create user stories and wireframes</t>
  </si>
  <si>
    <t>Product Owner, Development Team</t>
  </si>
  <si>
    <t>2-3 days</t>
  </si>
  <si>
    <t>Design database schema and ERDs</t>
  </si>
  <si>
    <t>Database Architect, Development Team</t>
  </si>
  <si>
    <t>Plan project timeline and milestones</t>
  </si>
  <si>
    <t>1 week</t>
  </si>
  <si>
    <t>Dev Environment</t>
  </si>
  <si>
    <t>Development Environment Setup</t>
  </si>
  <si>
    <t>Install necessary development tools and IDEs</t>
  </si>
  <si>
    <t>Development Team, DevOps Engineer</t>
  </si>
  <si>
    <t>Set up local development servers</t>
  </si>
  <si>
    <t>DevOps Engineer, Development Team</t>
  </si>
  <si>
    <t>Configure text editors or IDEs</t>
  </si>
  <si>
    <t>Frontend Dev</t>
  </si>
  <si>
    <t>Frontend Development (HTML, CSS, JS)</t>
  </si>
  <si>
    <t>Create HTML templates based on wireframes</t>
  </si>
  <si>
    <t>Frontend Developer, UI/UX Designer</t>
  </si>
  <si>
    <t>Style HTML elements using CSS</t>
  </si>
  <si>
    <t>Implement client-side interactivity using JS</t>
  </si>
  <si>
    <t>Backend Dev</t>
  </si>
  <si>
    <t>Backend Development (Python, SQL)</t>
  </si>
  <si>
    <t>Set up Python virtual environment</t>
  </si>
  <si>
    <t>Backend Developer, DevOps Engineer</t>
  </si>
  <si>
    <t>Develop backend logic and functionality</t>
  </si>
  <si>
    <t>Backend Developer, Database Architect</t>
  </si>
  <si>
    <t>3-5 days</t>
  </si>
  <si>
    <t>Implement RESTful APIs</t>
  </si>
  <si>
    <t>Integrate with RDBMS using SQL</t>
  </si>
  <si>
    <t>Integration &amp; Testing</t>
  </si>
  <si>
    <t>Integration and Testing</t>
  </si>
  <si>
    <t>Perform unit and integration testing</t>
  </si>
  <si>
    <t>QA Engineer, Development Team</t>
  </si>
  <si>
    <t>Conduct manual testing</t>
  </si>
  <si>
    <t>Debug and fix issues identified during testing</t>
  </si>
  <si>
    <t>Development Team, QA Engineer</t>
  </si>
  <si>
    <t>Deployment</t>
  </si>
  <si>
    <t>Deployment and Hosting</t>
  </si>
  <si>
    <t>Deploy application to web server or cloud</t>
  </si>
  <si>
    <t>Configure domain settings and DNS records</t>
  </si>
  <si>
    <t>DevOps Engineer, IT Support</t>
  </si>
  <si>
    <t>Set up SSL/TLS certificates for HTTPS</t>
  </si>
  <si>
    <t>DevOps Engineer, IT Security</t>
  </si>
  <si>
    <t>Monitor application performance and uptime</t>
  </si>
  <si>
    <t>DevOps Engineer, IT Operations</t>
  </si>
  <si>
    <t>CI/CD</t>
  </si>
  <si>
    <t>Continuous Integration/Deployment</t>
  </si>
  <si>
    <t>Implement CI/CD pipelines</t>
  </si>
  <si>
    <t>Set up automated deployment scripts</t>
  </si>
  <si>
    <t>Project Mgmt</t>
  </si>
  <si>
    <t>Project Management and Agile Methodology</t>
  </si>
  <si>
    <t>Use agile methodologies like Scrum</t>
  </si>
  <si>
    <t>Scrum Master, Development Team</t>
  </si>
  <si>
    <t>Conduct daily stand-up meetings</t>
  </si>
  <si>
    <t>15 minutes/day</t>
  </si>
  <si>
    <t>Prioritize user stories and features</t>
  </si>
  <si>
    <t>Track project progress using PM tools</t>
  </si>
  <si>
    <t>Documentation</t>
  </si>
  <si>
    <t>Documentation and Maintenance</t>
  </si>
  <si>
    <t>Document project architecture and codebase</t>
  </si>
  <si>
    <t>Development Team, Technical Writer</t>
  </si>
  <si>
    <t>Create user manuals and guides</t>
  </si>
  <si>
    <t>Technical Writer, Development Team</t>
  </si>
  <si>
    <t>Establish maintenance plan</t>
  </si>
  <si>
    <t>Provide customer support and troubleshoot</t>
  </si>
  <si>
    <t>Support Team, Development Team</t>
  </si>
  <si>
    <t>Step</t>
  </si>
  <si>
    <t>Project Planning and Requirements Gathering</t>
  </si>
  <si>
    <t>Design and Architecture</t>
  </si>
  <si>
    <t>Design the architecture of the application, choose technologies, and define database schema.</t>
  </si>
  <si>
    <t>Frontend Development</t>
  </si>
  <si>
    <t>Develop the user interface using HTML, CSS, and JavaScript, implement responsive design techniques.</t>
  </si>
  <si>
    <t>Set up the backend infrastructure using Python (with frameworks like Django or Flask) for RESTful APIs.</t>
  </si>
  <si>
    <t>Database Development</t>
  </si>
  <si>
    <t>Choose a database system (e.g., MySQL, PostgreSQL) and design database schema, write SQL queries.</t>
  </si>
  <si>
    <t>Testing</t>
  </si>
  <si>
    <t>Perform unit testing, integration testing, and end-to-end testing using testing frameworks like Jest.</t>
  </si>
  <si>
    <t>Deployment and DevOps</t>
  </si>
  <si>
    <t>Set up deployment pipelines, use containerization tools like Docker, implement CI/CD practices.</t>
  </si>
  <si>
    <t>Maintenance and Support</t>
  </si>
  <si>
    <t>Provide ongoing maintenance, updates, and customer support, monitor application performance and logs.</t>
  </si>
  <si>
    <t>This phase involves understanding the project requirements, identifying stakeholders, and defining the scope of the project. One essential aspect of this phase is creating user stories, which are short descriptions of a feature from an end-user perspective. User stories help capture the functionality and behavior expected from the application. Additionally, creating wireframes and mockups is crucial during this phase. Wireframes are simple visual representations of the user interface layout and structure, focusing on the arrangement of elements and navigation flow. Mockups, on the other hand, are more detailed visual representations that include design elements such as colors, typography, and imagery. These wireframes and mockups serve as blueprints for the user interface design and aid in gathering feedback from stakeholders before actual development begins. By creating user stories, wireframes, and mockups, the project team gains a clear understanding of the project requirements and ensures alignment with stakeholders' expectations.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</si>
</sst>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11"/>
      <color theme="0"/>
      <name val="Calibri"/>
      <family val="2"/>
      <scheme val="minor"/>
    </font>
    <font>
      <sz val="9.6"/>
      <color rgb="FF0D0D0D"/>
      <name val="Segoe UI"/>
      <family val="2"/>
    </font>
    <font>
      <sz val="9.6"/>
      <color rgb="FF0D0D0D"/>
      <name val="Segoe UI"/>
      <family val="2"/>
    </font>
    <font>
      <sz val="10"/>
      <color rgb="FF0D0D0D"/>
      <name val="Segoe UI"/>
      <family val="2"/>
    </font>
    <font>
      <sz val="14"/>
      <color theme="0"/>
      <name val="Calibri"/>
      <family val="2"/>
      <scheme val="minor"/>
    </font>
    <font>
      <sz val="14"/>
      <color theme="1"/>
      <name val="Calibri"/>
      <family val="2"/>
      <scheme val="minor"/>
    </font>
    <font>
      <sz val="9.6"/>
      <color rgb="FF0D0D0D"/>
      <name val="Segoe UI"/>
      <family val="2"/>
    </font>
  </fonts>
  <fills count="5">
    <fill>
      <patternFill patternType="none"/>
    </fill>
    <fill>
      <patternFill patternType="gray125"/>
    </fill>
    <fill>
      <patternFill patternType="solid">
        <fgColor theme="5"/>
      </patternFill>
    </fill>
    <fill>
      <patternFill patternType="solid">
        <fgColor theme="8"/>
      </patternFill>
    </fill>
    <fill>
      <patternFill patternType="solid">
        <fgColor rgb="FFFFFFFF"/>
        <bgColor indexed="64"/>
      </patternFill>
    </fill>
  </fills>
  <borders count="12">
    <border>
      <left/>
      <right/>
      <top/>
      <bottom/>
      <diagonal/>
    </border>
    <border>
      <left style="medium">
        <color rgb="FFE3E3E3"/>
      </left>
      <right/>
      <top style="medium">
        <color rgb="FFE3E3E3"/>
      </top>
      <bottom style="medium">
        <color rgb="FFE3E3E3"/>
      </bottom>
      <diagonal/>
    </border>
    <border>
      <left style="medium">
        <color rgb="FFE3E3E3"/>
      </left>
      <right style="medium">
        <color rgb="FFE3E3E3"/>
      </right>
      <top style="medium">
        <color rgb="FFE3E3E3"/>
      </top>
      <bottom style="medium">
        <color rgb="FFE3E3E3"/>
      </bottom>
      <diagonal/>
    </border>
    <border>
      <left style="medium">
        <color rgb="FFE3E3E3"/>
      </left>
      <right/>
      <top/>
      <bottom style="medium">
        <color rgb="FFE3E3E3"/>
      </bottom>
      <diagonal/>
    </border>
    <border>
      <left style="medium">
        <color rgb="FFE3E3E3"/>
      </left>
      <right style="medium">
        <color rgb="FFE3E3E3"/>
      </right>
      <top/>
      <bottom style="medium">
        <color rgb="FFE3E3E3"/>
      </bottom>
      <diagonal/>
    </border>
    <border>
      <left/>
      <right/>
      <top/>
      <bottom style="medium">
        <color rgb="FFE3E3E3"/>
      </bottom>
      <diagonal/>
    </border>
    <border>
      <left style="medium">
        <color rgb="FFE3E3E3"/>
      </left>
      <right/>
      <top style="medium">
        <color rgb="FFE3E3E3"/>
      </top>
      <bottom/>
      <diagonal/>
    </border>
    <border>
      <left/>
      <right style="medium">
        <color rgb="FFE3E3E3"/>
      </right>
      <top style="medium">
        <color rgb="FFE3E3E3"/>
      </top>
      <bottom/>
      <diagonal/>
    </border>
    <border>
      <left/>
      <right style="medium">
        <color rgb="FFE3E3E3"/>
      </right>
      <top/>
      <bottom style="medium">
        <color rgb="FFE3E3E3"/>
      </bottom>
      <diagonal/>
    </border>
    <border>
      <left/>
      <right style="medium">
        <color rgb="FFE3E3E3"/>
      </right>
      <top style="medium">
        <color rgb="FFE3E3E3"/>
      </top>
      <bottom style="medium">
        <color rgb="FFE3E3E3"/>
      </bottom>
      <diagonal/>
    </border>
    <border>
      <left style="medium">
        <color rgb="FFE3E3E3"/>
      </left>
      <right style="medium">
        <color rgb="FFE3E3E3"/>
      </right>
      <top style="medium">
        <color rgb="FFE3E3E3"/>
      </top>
      <bottom/>
      <diagonal/>
    </border>
    <border>
      <left style="medium">
        <color rgb="FFE3E3E3"/>
      </left>
      <right style="medium">
        <color rgb="FFE3E3E3"/>
      </right>
      <top/>
      <bottom/>
      <diagonal/>
    </border>
  </borders>
  <cellStyleXfs count="3">
    <xf numFmtId="0" fontId="0" fillId="0" borderId="0"/>
    <xf numFmtId="0" fontId="1" fillId="2" borderId="0" applyNumberFormat="0" applyBorder="0" applyAlignment="0" applyProtection="0"/>
    <xf numFmtId="0" fontId="1" fillId="3" borderId="0" applyNumberFormat="0" applyBorder="0" applyAlignment="0" applyProtection="0"/>
  </cellStyleXfs>
  <cellXfs count="32">
    <xf numFmtId="0" fontId="0" fillId="0" borderId="0" xfId="0"/>
    <xf numFmtId="0" fontId="2" fillId="4" borderId="1" xfId="0" applyFont="1" applyFill="1" applyBorder="1" applyAlignment="1">
      <alignment horizontal="center" wrapText="1"/>
    </xf>
    <xf numFmtId="0" fontId="2" fillId="4" borderId="2" xfId="0" applyFont="1" applyFill="1" applyBorder="1" applyAlignment="1">
      <alignment horizontal="center" wrapText="1"/>
    </xf>
    <xf numFmtId="0" fontId="3" fillId="4" borderId="3" xfId="0" applyFont="1" applyFill="1" applyBorder="1" applyAlignment="1">
      <alignment vertical="center" wrapText="1"/>
    </xf>
    <xf numFmtId="0" fontId="3" fillId="4" borderId="4" xfId="0" applyFont="1" applyFill="1" applyBorder="1" applyAlignment="1">
      <alignment vertical="center" wrapText="1"/>
    </xf>
    <xf numFmtId="0" fontId="4" fillId="0" borderId="0" xfId="0" applyFont="1"/>
    <xf numFmtId="0" fontId="3" fillId="4" borderId="5" xfId="0" applyFont="1" applyFill="1" applyBorder="1" applyAlignment="1">
      <alignment vertical="center" wrapText="1"/>
    </xf>
    <xf numFmtId="0" fontId="2" fillId="4" borderId="5" xfId="0" applyFont="1" applyFill="1" applyBorder="1" applyAlignment="1">
      <alignment horizontal="center" wrapText="1"/>
    </xf>
    <xf numFmtId="0" fontId="2" fillId="4" borderId="3" xfId="0" applyFont="1" applyFill="1" applyBorder="1" applyAlignment="1">
      <alignment horizontal="center" wrapText="1"/>
    </xf>
    <xf numFmtId="0" fontId="3" fillId="4" borderId="11" xfId="0" applyFont="1" applyFill="1" applyBorder="1" applyAlignment="1">
      <alignment vertical="center" wrapText="1"/>
    </xf>
    <xf numFmtId="0" fontId="0" fillId="0" borderId="0" xfId="0" pivotButton="1"/>
    <xf numFmtId="0" fontId="0" fillId="0" borderId="0" xfId="0" applyAlignment="1">
      <alignment horizontal="left"/>
    </xf>
    <xf numFmtId="0" fontId="5" fillId="3" borderId="8" xfId="2" applyFont="1" applyBorder="1" applyAlignment="1">
      <alignment vertical="center" wrapText="1"/>
    </xf>
    <xf numFmtId="0" fontId="5" fillId="3" borderId="9" xfId="2" applyFont="1" applyBorder="1" applyAlignment="1">
      <alignment vertical="center" wrapText="1"/>
    </xf>
    <xf numFmtId="0" fontId="5" fillId="3" borderId="2" xfId="2" applyFont="1" applyBorder="1" applyAlignment="1">
      <alignment vertical="center" wrapText="1"/>
    </xf>
    <xf numFmtId="14" fontId="5" fillId="3" borderId="1" xfId="2" applyNumberFormat="1" applyFont="1" applyBorder="1" applyAlignment="1">
      <alignment vertical="center" wrapText="1"/>
    </xf>
    <xf numFmtId="0" fontId="5" fillId="3" borderId="1" xfId="2" applyFont="1" applyBorder="1" applyAlignment="1">
      <alignment vertical="center" wrapText="1"/>
    </xf>
    <xf numFmtId="0" fontId="5" fillId="3" borderId="4" xfId="2" applyFont="1" applyBorder="1" applyAlignment="1">
      <alignment vertical="center" wrapText="1"/>
    </xf>
    <xf numFmtId="0" fontId="5" fillId="3" borderId="7" xfId="2" applyFont="1" applyBorder="1" applyAlignment="1">
      <alignment vertical="center" wrapText="1"/>
    </xf>
    <xf numFmtId="0" fontId="5" fillId="3" borderId="10" xfId="2" applyFont="1" applyBorder="1" applyAlignment="1">
      <alignment vertical="center" wrapText="1"/>
    </xf>
    <xf numFmtId="0" fontId="5" fillId="2" borderId="4" xfId="1" applyFont="1" applyBorder="1" applyAlignment="1">
      <alignment horizontal="center" vertical="center" wrapText="1"/>
    </xf>
    <xf numFmtId="0" fontId="5" fillId="2" borderId="8" xfId="1" applyFont="1" applyBorder="1" applyAlignment="1">
      <alignment horizontal="center" vertical="center" wrapText="1"/>
    </xf>
    <xf numFmtId="0" fontId="5" fillId="2" borderId="3" xfId="1" applyFont="1" applyBorder="1" applyAlignment="1">
      <alignment horizontal="center" vertical="center" wrapText="1"/>
    </xf>
    <xf numFmtId="0" fontId="6" fillId="0" borderId="0" xfId="0" applyFont="1"/>
    <xf numFmtId="14" fontId="5" fillId="2" borderId="3" xfId="1" applyNumberFormat="1" applyFont="1" applyBorder="1" applyAlignment="1">
      <alignment horizontal="center" vertical="center" wrapText="1"/>
    </xf>
    <xf numFmtId="14" fontId="5" fillId="3" borderId="6" xfId="2" applyNumberFormat="1" applyFont="1" applyBorder="1" applyAlignment="1">
      <alignment vertical="center" wrapText="1"/>
    </xf>
    <xf numFmtId="14" fontId="0" fillId="0" borderId="0" xfId="0" applyNumberFormat="1"/>
    <xf numFmtId="0" fontId="0" fillId="0" borderId="5" xfId="0" applyBorder="1" applyAlignment="1">
      <alignment horizontal="center"/>
    </xf>
    <xf numFmtId="0" fontId="7" fillId="4" borderId="1" xfId="0" applyFont="1" applyFill="1" applyBorder="1" applyAlignment="1">
      <alignment horizontal="center" wrapText="1"/>
    </xf>
    <xf numFmtId="0" fontId="7" fillId="4" borderId="2" xfId="0" applyFont="1" applyFill="1" applyBorder="1" applyAlignment="1">
      <alignment horizontal="center" wrapText="1"/>
    </xf>
    <xf numFmtId="0" fontId="2" fillId="4" borderId="3" xfId="0" applyFont="1" applyFill="1" applyBorder="1" applyAlignment="1">
      <alignment vertical="center" wrapText="1"/>
    </xf>
    <xf numFmtId="0" fontId="2" fillId="4" borderId="4" xfId="0" applyFont="1" applyFill="1" applyBorder="1" applyAlignment="1">
      <alignment vertical="center" wrapText="1"/>
    </xf>
  </cellXfs>
  <cellStyles count="3">
    <cellStyle name="Accent2" xfId="1" builtinId="33"/>
    <cellStyle name="Accent5" xfId="2" builtinId="45"/>
    <cellStyle name="Normal" xfId="0" builtinId="0"/>
  </cellStyles>
  <dxfs count="30">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style="medium">
          <color rgb="FFE3E3E3"/>
        </right>
        <top/>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style="medium">
          <color rgb="FFE3E3E3"/>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style="medium">
          <color rgb="FFE3E3E3"/>
        </left>
        <right/>
        <top/>
        <bottom style="medium">
          <color rgb="FFE3E3E3"/>
        </bottom>
        <vertical/>
        <horizontal/>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border diagonalUp="0" diagonalDown="0">
        <left/>
        <right/>
        <top/>
        <bottom style="medium">
          <color rgb="FFE3E3E3"/>
        </bottom>
        <vertical/>
        <horizontal/>
      </border>
    </dxf>
    <dxf>
      <border outline="0">
        <left style="medium">
          <color rgb="FFE3E3E3"/>
        </left>
        <right style="medium">
          <color rgb="FFE3E3E3"/>
        </right>
        <top style="medium">
          <color rgb="FFE3E3E3"/>
        </top>
        <bottom style="medium">
          <color rgb="FFE3E3E3"/>
        </bottom>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general" vertical="center" textRotation="0" wrapText="1" indent="0" justifyLastLine="0" shrinkToFit="0" readingOrder="0"/>
    </dxf>
    <dxf>
      <border outline="0">
        <bottom style="medium">
          <color rgb="FFE3E3E3"/>
        </bottom>
      </border>
    </dxf>
    <dxf>
      <font>
        <b val="0"/>
        <i val="0"/>
        <strike val="0"/>
        <condense val="0"/>
        <extend val="0"/>
        <outline val="0"/>
        <shadow val="0"/>
        <u val="none"/>
        <vertAlign val="baseline"/>
        <sz val="9.6"/>
        <color rgb="FF0D0D0D"/>
        <name val="Segoe UI"/>
        <scheme val="none"/>
      </font>
      <fill>
        <patternFill patternType="solid">
          <fgColor indexed="64"/>
          <bgColor rgb="FFFFFFFF"/>
        </patternFill>
      </fill>
      <alignment horizontal="center" vertical="bottom" textRotation="0" wrapText="1" indent="0" justifyLastLine="0" shrinkToFit="0" readingOrder="0"/>
      <border diagonalUp="0" diagonalDown="0" outline="0">
        <left style="medium">
          <color rgb="FFE3E3E3"/>
        </left>
        <right style="medium">
          <color rgb="FFE3E3E3"/>
        </right>
        <top/>
        <bottom/>
      </border>
    </dxf>
    <dxf>
      <font>
        <strike val="0"/>
        <outline val="0"/>
        <shadow val="0"/>
        <u val="none"/>
        <vertAlign val="baseline"/>
        <sz val="14"/>
        <color theme="0"/>
        <name val="Calibri"/>
        <scheme val="minor"/>
      </font>
      <numFmt numFmtId="0" formatCode="General"/>
      <alignment horizontal="general" vertical="center" textRotation="0" wrapText="1" indent="0" justifyLastLine="0" shrinkToFit="0" readingOrder="0"/>
      <border diagonalUp="0" diagonalDown="0" outline="0">
        <left style="medium">
          <color rgb="FFE3E3E3"/>
        </left>
        <right/>
        <top style="medium">
          <color rgb="FFE3E3E3"/>
        </top>
        <bottom style="medium">
          <color rgb="FFE3E3E3"/>
        </bottom>
      </border>
    </dxf>
    <dxf>
      <font>
        <strike val="0"/>
        <outline val="0"/>
        <shadow val="0"/>
        <u val="none"/>
        <vertAlign val="baseline"/>
        <sz val="14"/>
        <color theme="0"/>
        <name val="Calibri"/>
        <scheme val="minor"/>
      </font>
      <numFmt numFmtId="0" formatCode="General"/>
      <alignment horizontal="general" vertical="center" textRotation="0" wrapText="1" indent="0" justifyLastLine="0" shrinkToFit="0" readingOrder="0"/>
      <border diagonalUp="0" diagonalDown="0" outline="0">
        <left style="medium">
          <color rgb="FFE3E3E3"/>
        </left>
        <right style="medium">
          <color rgb="FFE3E3E3"/>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right/>
        <top style="medium">
          <color rgb="FFE3E3E3"/>
        </top>
        <bottom style="medium">
          <color rgb="FFE3E3E3"/>
        </bottom>
      </border>
    </dxf>
    <dxf>
      <font>
        <strike val="0"/>
        <outline val="0"/>
        <shadow val="0"/>
        <u val="none"/>
        <vertAlign val="baseline"/>
        <sz val="14"/>
        <color theme="0"/>
        <name val="Calibri"/>
        <scheme val="minor"/>
      </font>
      <numFmt numFmtId="19" formatCode="dd/mm/yyyy"/>
      <alignment horizontal="general" vertical="center" textRotation="0" wrapText="1" indent="0" justifyLastLine="0" shrinkToFit="0" readingOrder="0"/>
      <border diagonalUp="0" diagonalDown="0" outline="0">
        <left/>
        <right/>
        <top style="medium">
          <color rgb="FFE3E3E3"/>
        </top>
        <bottom style="medium">
          <color rgb="FFE3E3E3"/>
        </bottom>
      </border>
    </dxf>
    <dxf>
      <font>
        <b val="0"/>
        <i val="0"/>
        <strike val="0"/>
        <condense val="0"/>
        <extend val="0"/>
        <outline val="0"/>
        <shadow val="0"/>
        <u val="none"/>
        <vertAlign val="baseline"/>
        <sz val="14"/>
        <color theme="0"/>
        <name val="Calibri"/>
        <scheme val="minor"/>
      </font>
      <numFmt numFmtId="19" formatCode="dd/mm/yyyy"/>
      <alignment horizontal="general" vertical="center" textRotation="0" wrapText="1" indent="0" justifyLastLine="0" shrinkToFit="0" readingOrder="0"/>
      <border diagonalUp="0" diagonalDown="0">
        <left style="medium">
          <color rgb="FFE3E3E3"/>
        </left>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style="medium">
          <color rgb="FFE3E3E3"/>
        </left>
        <right style="medium">
          <color rgb="FFE3E3E3"/>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style="medium">
          <color rgb="FFE3E3E3"/>
        </left>
        <right style="medium">
          <color rgb="FFE3E3E3"/>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style="medium">
          <color rgb="FFE3E3E3"/>
        </left>
        <right style="medium">
          <color rgb="FFE3E3E3"/>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right style="medium">
          <color rgb="FFE3E3E3"/>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right style="medium">
          <color rgb="FFE3E3E3"/>
        </right>
        <top style="medium">
          <color rgb="FFE3E3E3"/>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right style="medium">
          <color rgb="FFE3E3E3"/>
        </right>
        <top style="medium">
          <color rgb="FFE3E3E3"/>
        </top>
        <bottom style="medium">
          <color rgb="FFE3E3E3"/>
        </bottom>
      </border>
    </dxf>
    <dxf>
      <font>
        <strike val="0"/>
        <outline val="0"/>
        <shadow val="0"/>
        <u val="none"/>
        <vertAlign val="baseline"/>
        <sz val="14"/>
        <color theme="0"/>
        <name val="Calibri"/>
        <scheme val="minor"/>
      </font>
      <numFmt numFmtId="0" formatCode="General"/>
      <alignment horizontal="general" vertical="center" textRotation="0" wrapText="1" indent="0" justifyLastLine="0" shrinkToFit="0" readingOrder="0"/>
      <border diagonalUp="0" diagonalDown="0" outline="0">
        <left/>
        <right style="medium">
          <color rgb="FFE3E3E3"/>
        </right>
        <top/>
        <bottom style="medium">
          <color rgb="FFE3E3E3"/>
        </bottom>
      </border>
    </dxf>
    <dxf>
      <font>
        <strike val="0"/>
        <outline val="0"/>
        <shadow val="0"/>
        <u val="none"/>
        <vertAlign val="baseline"/>
        <sz val="14"/>
        <color theme="0"/>
        <name val="Calibri"/>
        <scheme val="minor"/>
      </font>
      <alignment horizontal="general" vertical="center" textRotation="0" wrapText="1" indent="0" justifyLastLine="0" shrinkToFit="0" readingOrder="0"/>
      <border diagonalUp="0" diagonalDown="0" outline="0">
        <left/>
        <right style="medium">
          <color rgb="FFE3E3E3"/>
        </right>
        <top style="medium">
          <color rgb="FFE3E3E3"/>
        </top>
        <bottom style="medium">
          <color rgb="FFE3E3E3"/>
        </bottom>
      </border>
    </dxf>
    <dxf>
      <border outline="0">
        <top style="medium">
          <color rgb="FFE3E3E3"/>
        </top>
      </border>
    </dxf>
    <dxf>
      <font>
        <strike val="0"/>
        <outline val="0"/>
        <shadow val="0"/>
        <u val="none"/>
        <vertAlign val="baseline"/>
        <sz val="14"/>
        <color theme="0"/>
        <name val="Calibri"/>
        <scheme val="minor"/>
      </font>
      <alignment horizontal="general" vertical="center" textRotation="0" wrapText="1" indent="0" justifyLastLine="0" shrinkToFit="0" readingOrder="0"/>
    </dxf>
    <dxf>
      <border outline="0">
        <bottom style="medium">
          <color rgb="FFE3E3E3"/>
        </bottom>
      </border>
    </dxf>
    <dxf>
      <font>
        <strike val="0"/>
        <outline val="0"/>
        <shadow val="0"/>
        <u val="none"/>
        <vertAlign val="baseline"/>
        <sz val="14"/>
        <name val="Calibri"/>
        <scheme val="minor"/>
      </font>
      <alignment horizontal="center" vertical="center" textRotation="0" wrapText="1" indent="0" justifyLastLine="0" shrinkToFit="0" readingOrder="0"/>
      <border diagonalUp="0" diagonalDown="0" outline="0">
        <left style="medium">
          <color rgb="FFE3E3E3"/>
        </left>
        <right style="medium">
          <color rgb="FFE3E3E3"/>
        </right>
        <top/>
        <bottom/>
      </border>
    </dxf>
  </dxfs>
  <tableStyles count="0" defaultTableStyle="TableStyleMedium2" defaultPivotStyle="PivotStyleLight16"/>
  <colors>
    <mruColors>
      <color rgb="FFC399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5370.869912037037" createdVersion="6" refreshedVersion="6" minRefreshableVersion="3" recordCount="48">
  <cacheSource type="worksheet">
    <worksheetSource name="data"/>
  </cacheSource>
  <cacheFields count="4">
    <cacheField name="module" numFmtId="0">
      <sharedItems count="4">
        <s v="Land Acquisition Module"/>
        <s v="Legal and Regulatory Compliance"/>
        <s v="Construction Management Module"/>
        <s v="Tenancy Management Module"/>
      </sharedItems>
    </cacheField>
    <cacheField name="submodule" numFmtId="0">
      <sharedItems count="12">
        <s v="Land Search and Selection"/>
        <s v="Property Verification"/>
        <s v="Transaction Management"/>
        <s v="Regulatory Approval Tracking"/>
        <s v="Compliance Checklists"/>
        <s v="Legal Documentation Management"/>
        <s v="Project Planning"/>
        <s v="Material and Equipment Management"/>
        <s v="Quality Control"/>
        <s v="Property Listing"/>
        <s v="Tenant Communication"/>
        <s v="Property Maintenance"/>
      </sharedItems>
    </cacheField>
    <cacheField name="page" numFmtId="0">
      <sharedItems count="24">
        <s v="Land Search Page"/>
        <s v="Land Selection Page"/>
        <s v="Property Ownership Check"/>
        <s v="Legal Status Verification"/>
        <s v="Document Preparation"/>
        <s v="Payment Processing"/>
        <s v="Permit Tracking"/>
        <s v="License Tracking"/>
        <s v="Legal Compliance Checklist"/>
        <s v="Regulatory Compliance List"/>
        <s v="Land Ownership Documents"/>
        <s v="Permit Documents"/>
        <s v="Budgeting"/>
        <s v="Timeline Management"/>
        <s v="Inventory Tracking"/>
        <s v="Procurement Automation"/>
        <s v="Quality Inspection"/>
        <s v="Compliance Checks"/>
        <s v="Listing Creation"/>
        <s v="Listing Management"/>
        <s v="Messaging Platform"/>
        <s v="Notification System"/>
        <s v="Routine Maintenance"/>
        <s v="Emergency Response"/>
      </sharedItems>
    </cacheField>
    <cacheField name="status" numFmtId="0">
      <sharedItems count="2">
        <s v="Completed"/>
        <s v="Pendi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0"/>
    <x v="0"/>
    <x v="1"/>
    <x v="0"/>
  </r>
  <r>
    <x v="0"/>
    <x v="1"/>
    <x v="2"/>
    <x v="0"/>
  </r>
  <r>
    <x v="0"/>
    <x v="1"/>
    <x v="3"/>
    <x v="0"/>
  </r>
  <r>
    <x v="0"/>
    <x v="2"/>
    <x v="4"/>
    <x v="0"/>
  </r>
  <r>
    <x v="0"/>
    <x v="2"/>
    <x v="5"/>
    <x v="0"/>
  </r>
  <r>
    <x v="1"/>
    <x v="3"/>
    <x v="6"/>
    <x v="0"/>
  </r>
  <r>
    <x v="1"/>
    <x v="3"/>
    <x v="7"/>
    <x v="0"/>
  </r>
  <r>
    <x v="1"/>
    <x v="4"/>
    <x v="8"/>
    <x v="0"/>
  </r>
  <r>
    <x v="1"/>
    <x v="4"/>
    <x v="9"/>
    <x v="0"/>
  </r>
  <r>
    <x v="1"/>
    <x v="5"/>
    <x v="10"/>
    <x v="0"/>
  </r>
  <r>
    <x v="1"/>
    <x v="5"/>
    <x v="11"/>
    <x v="0"/>
  </r>
  <r>
    <x v="2"/>
    <x v="6"/>
    <x v="12"/>
    <x v="0"/>
  </r>
  <r>
    <x v="2"/>
    <x v="6"/>
    <x v="13"/>
    <x v="0"/>
  </r>
  <r>
    <x v="2"/>
    <x v="7"/>
    <x v="14"/>
    <x v="0"/>
  </r>
  <r>
    <x v="2"/>
    <x v="7"/>
    <x v="15"/>
    <x v="0"/>
  </r>
  <r>
    <x v="2"/>
    <x v="8"/>
    <x v="16"/>
    <x v="0"/>
  </r>
  <r>
    <x v="2"/>
    <x v="8"/>
    <x v="17"/>
    <x v="0"/>
  </r>
  <r>
    <x v="3"/>
    <x v="9"/>
    <x v="18"/>
    <x v="0"/>
  </r>
  <r>
    <x v="3"/>
    <x v="9"/>
    <x v="19"/>
    <x v="0"/>
  </r>
  <r>
    <x v="3"/>
    <x v="10"/>
    <x v="20"/>
    <x v="0"/>
  </r>
  <r>
    <x v="3"/>
    <x v="10"/>
    <x v="21"/>
    <x v="0"/>
  </r>
  <r>
    <x v="3"/>
    <x v="11"/>
    <x v="22"/>
    <x v="0"/>
  </r>
  <r>
    <x v="3"/>
    <x v="11"/>
    <x v="23"/>
    <x v="0"/>
  </r>
  <r>
    <x v="0"/>
    <x v="0"/>
    <x v="0"/>
    <x v="1"/>
  </r>
  <r>
    <x v="0"/>
    <x v="0"/>
    <x v="1"/>
    <x v="1"/>
  </r>
  <r>
    <x v="0"/>
    <x v="1"/>
    <x v="2"/>
    <x v="1"/>
  </r>
  <r>
    <x v="0"/>
    <x v="1"/>
    <x v="3"/>
    <x v="1"/>
  </r>
  <r>
    <x v="0"/>
    <x v="2"/>
    <x v="4"/>
    <x v="1"/>
  </r>
  <r>
    <x v="0"/>
    <x v="2"/>
    <x v="5"/>
    <x v="1"/>
  </r>
  <r>
    <x v="1"/>
    <x v="3"/>
    <x v="6"/>
    <x v="1"/>
  </r>
  <r>
    <x v="1"/>
    <x v="3"/>
    <x v="7"/>
    <x v="1"/>
  </r>
  <r>
    <x v="1"/>
    <x v="4"/>
    <x v="8"/>
    <x v="1"/>
  </r>
  <r>
    <x v="1"/>
    <x v="4"/>
    <x v="9"/>
    <x v="1"/>
  </r>
  <r>
    <x v="1"/>
    <x v="5"/>
    <x v="10"/>
    <x v="1"/>
  </r>
  <r>
    <x v="1"/>
    <x v="5"/>
    <x v="11"/>
    <x v="1"/>
  </r>
  <r>
    <x v="2"/>
    <x v="6"/>
    <x v="12"/>
    <x v="1"/>
  </r>
  <r>
    <x v="2"/>
    <x v="6"/>
    <x v="13"/>
    <x v="1"/>
  </r>
  <r>
    <x v="2"/>
    <x v="7"/>
    <x v="14"/>
    <x v="1"/>
  </r>
  <r>
    <x v="2"/>
    <x v="7"/>
    <x v="15"/>
    <x v="1"/>
  </r>
  <r>
    <x v="2"/>
    <x v="8"/>
    <x v="16"/>
    <x v="1"/>
  </r>
  <r>
    <x v="2"/>
    <x v="8"/>
    <x v="17"/>
    <x v="1"/>
  </r>
  <r>
    <x v="3"/>
    <x v="9"/>
    <x v="18"/>
    <x v="1"/>
  </r>
  <r>
    <x v="3"/>
    <x v="9"/>
    <x v="19"/>
    <x v="1"/>
  </r>
  <r>
    <x v="3"/>
    <x v="10"/>
    <x v="20"/>
    <x v="1"/>
  </r>
  <r>
    <x v="3"/>
    <x v="10"/>
    <x v="21"/>
    <x v="1"/>
  </r>
  <r>
    <x v="3"/>
    <x v="11"/>
    <x v="22"/>
    <x v="1"/>
  </r>
  <r>
    <x v="3"/>
    <x v="11"/>
    <x v="2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Status">
  <location ref="M1:M3" firstHeaderRow="1" firstDataRow="1" firstDataCol="1"/>
  <pivotFields count="4">
    <pivotField showAll="0">
      <items count="5">
        <item x="2"/>
        <item x="0"/>
        <item x="1"/>
        <item x="3"/>
        <item t="default"/>
      </items>
    </pivotField>
    <pivotField showAll="0"/>
    <pivotField showAll="0"/>
    <pivotField axis="axisRow" showAll="0">
      <items count="3">
        <item x="0"/>
        <item x="1"/>
        <item t="default"/>
      </items>
    </pivotField>
  </pivotFields>
  <rowFields count="1">
    <field x="3"/>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Page">
  <location ref="K1:K25" firstHeaderRow="1" firstDataRow="1" firstDataCol="1"/>
  <pivotFields count="4">
    <pivotField showAll="0">
      <items count="5">
        <item x="2"/>
        <item x="0"/>
        <item x="1"/>
        <item x="3"/>
        <item t="default"/>
      </items>
    </pivotField>
    <pivotField showAll="0"/>
    <pivotField axis="axisRow" showAll="0">
      <items count="25">
        <item x="12"/>
        <item x="17"/>
        <item x="4"/>
        <item x="23"/>
        <item x="14"/>
        <item x="10"/>
        <item x="0"/>
        <item x="1"/>
        <item x="8"/>
        <item x="3"/>
        <item x="7"/>
        <item x="18"/>
        <item x="19"/>
        <item x="20"/>
        <item x="21"/>
        <item x="5"/>
        <item x="11"/>
        <item x="6"/>
        <item x="15"/>
        <item x="2"/>
        <item x="16"/>
        <item x="9"/>
        <item x="22"/>
        <item x="13"/>
        <item t="default"/>
      </items>
    </pivotField>
    <pivotField showAll="0"/>
  </pivotFields>
  <rowFields count="1">
    <field x="2"/>
  </rowFields>
  <rowItems count="24">
    <i>
      <x/>
    </i>
    <i>
      <x v="1"/>
    </i>
    <i>
      <x v="2"/>
    </i>
    <i>
      <x v="3"/>
    </i>
    <i>
      <x v="4"/>
    </i>
    <i>
      <x v="5"/>
    </i>
    <i>
      <x v="6"/>
    </i>
    <i>
      <x v="7"/>
    </i>
    <i>
      <x v="8"/>
    </i>
    <i>
      <x v="9"/>
    </i>
    <i>
      <x v="10"/>
    </i>
    <i>
      <x v="11"/>
    </i>
    <i>
      <x v="12"/>
    </i>
    <i>
      <x v="13"/>
    </i>
    <i>
      <x v="14"/>
    </i>
    <i>
      <x v="15"/>
    </i>
    <i>
      <x v="16"/>
    </i>
    <i>
      <x v="17"/>
    </i>
    <i>
      <x v="18"/>
    </i>
    <i>
      <x v="19"/>
    </i>
    <i>
      <x v="20"/>
    </i>
    <i>
      <x v="21"/>
    </i>
    <i>
      <x v="22"/>
    </i>
    <i>
      <x v="2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SubModule">
  <location ref="I1:I13" firstHeaderRow="1" firstDataRow="1" firstDataCol="1"/>
  <pivotFields count="4">
    <pivotField showAll="0">
      <items count="5">
        <item x="2"/>
        <item x="0"/>
        <item x="1"/>
        <item x="3"/>
        <item t="default"/>
      </items>
    </pivotField>
    <pivotField axis="axisRow" showAll="0">
      <items count="13">
        <item x="4"/>
        <item x="0"/>
        <item x="5"/>
        <item x="7"/>
        <item x="6"/>
        <item x="9"/>
        <item x="11"/>
        <item x="1"/>
        <item x="8"/>
        <item x="3"/>
        <item x="10"/>
        <item x="2"/>
        <item t="default"/>
      </items>
    </pivotField>
    <pivotField showAll="0"/>
    <pivotField showAll="0">
      <items count="3">
        <item x="0"/>
        <item x="1"/>
        <item t="default"/>
      </items>
    </pivotField>
  </pivotFields>
  <rowFields count="1">
    <field x="1"/>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Module">
  <location ref="G1:G5" firstHeaderRow="1" firstDataRow="1" firstDataCol="1"/>
  <pivotFields count="4">
    <pivotField axis="axisRow" showAll="0" sortType="descending">
      <items count="5">
        <item x="3"/>
        <item x="1"/>
        <item x="0"/>
        <item x="2"/>
        <item t="default"/>
      </items>
    </pivotField>
    <pivotField showAll="0"/>
    <pivotField showAll="0"/>
    <pivotField showAll="0"/>
  </pivotFields>
  <rowFields count="1">
    <field x="0"/>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Module">
  <location ref="R1:S25" firstHeaderRow="1" firstDataRow="1" firstDataCol="2"/>
  <pivotFields count="4">
    <pivotField compact="0" outline="0" showAll="0" defaultSubtotal="0">
      <items count="4">
        <item x="2"/>
        <item x="0"/>
        <item x="1"/>
        <item x="3"/>
      </items>
      <extLst>
        <ext xmlns:x14="http://schemas.microsoft.com/office/spreadsheetml/2009/9/main" uri="{2946ED86-A175-432a-8AC1-64E0C546D7DE}">
          <x14:pivotField fillDownLabels="1"/>
        </ext>
      </extLst>
    </pivotField>
    <pivotField axis="axisRow" compact="0" outline="0" showAll="0" defaultSubtotal="0">
      <items count="12">
        <item x="4"/>
        <item x="0"/>
        <item x="5"/>
        <item x="7"/>
        <item x="6"/>
        <item x="9"/>
        <item x="11"/>
        <item x="1"/>
        <item x="8"/>
        <item x="3"/>
        <item x="10"/>
        <item x="2"/>
      </items>
      <extLst>
        <ext xmlns:x14="http://schemas.microsoft.com/office/spreadsheetml/2009/9/main" uri="{2946ED86-A175-432a-8AC1-64E0C546D7DE}">
          <x14:pivotField fillDownLabels="1"/>
        </ext>
      </extLst>
    </pivotField>
    <pivotField axis="axisRow" compact="0" outline="0" showAll="0" defaultSubtotal="0">
      <items count="24">
        <item x="12"/>
        <item x="17"/>
        <item x="4"/>
        <item x="23"/>
        <item x="14"/>
        <item x="10"/>
        <item x="0"/>
        <item x="1"/>
        <item x="8"/>
        <item x="3"/>
        <item x="7"/>
        <item x="18"/>
        <item x="19"/>
        <item x="20"/>
        <item x="21"/>
        <item x="5"/>
        <item x="11"/>
        <item x="6"/>
        <item x="15"/>
        <item x="2"/>
        <item x="16"/>
        <item x="9"/>
        <item x="22"/>
        <item x="1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1"/>
    <field x="2"/>
  </rowFields>
  <rowItems count="24">
    <i>
      <x/>
      <x v="8"/>
    </i>
    <i r="1">
      <x v="21"/>
    </i>
    <i>
      <x v="1"/>
      <x v="6"/>
    </i>
    <i r="1">
      <x v="7"/>
    </i>
    <i>
      <x v="2"/>
      <x v="5"/>
    </i>
    <i r="1">
      <x v="16"/>
    </i>
    <i>
      <x v="3"/>
      <x v="4"/>
    </i>
    <i r="1">
      <x v="18"/>
    </i>
    <i>
      <x v="4"/>
      <x/>
    </i>
    <i r="1">
      <x v="23"/>
    </i>
    <i>
      <x v="5"/>
      <x v="11"/>
    </i>
    <i r="1">
      <x v="12"/>
    </i>
    <i>
      <x v="6"/>
      <x v="3"/>
    </i>
    <i r="1">
      <x v="22"/>
    </i>
    <i>
      <x v="7"/>
      <x v="9"/>
    </i>
    <i r="1">
      <x v="19"/>
    </i>
    <i>
      <x v="8"/>
      <x v="1"/>
    </i>
    <i r="1">
      <x v="20"/>
    </i>
    <i>
      <x v="9"/>
      <x v="10"/>
    </i>
    <i r="1">
      <x v="17"/>
    </i>
    <i>
      <x v="10"/>
      <x v="13"/>
    </i>
    <i r="1">
      <x v="14"/>
    </i>
    <i>
      <x v="11"/>
      <x v="2"/>
    </i>
    <i r="1">
      <x v="1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rowHeaderCaption="Module">
  <location ref="O1:P13" firstHeaderRow="1" firstDataRow="1" firstDataCol="2"/>
  <pivotFields count="4">
    <pivotField axis="axisRow" compact="0" outline="0" showAll="0" defaultSubtotal="0">
      <items count="4">
        <item x="2"/>
        <item x="0"/>
        <item x="1"/>
        <item x="3"/>
      </items>
      <extLst>
        <ext xmlns:x14="http://schemas.microsoft.com/office/spreadsheetml/2009/9/main" uri="{2946ED86-A175-432a-8AC1-64E0C546D7DE}">
          <x14:pivotField fillDownLabels="1"/>
        </ext>
      </extLst>
    </pivotField>
    <pivotField axis="axisRow" compact="0" outline="0" showAll="0" defaultSubtotal="0">
      <items count="12">
        <item x="4"/>
        <item x="0"/>
        <item x="5"/>
        <item x="7"/>
        <item x="6"/>
        <item x="9"/>
        <item x="11"/>
        <item x="1"/>
        <item x="8"/>
        <item x="3"/>
        <item x="1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0"/>
    <field x="1"/>
  </rowFields>
  <rowItems count="12">
    <i>
      <x/>
      <x v="3"/>
    </i>
    <i r="1">
      <x v="4"/>
    </i>
    <i r="1">
      <x v="8"/>
    </i>
    <i>
      <x v="1"/>
      <x v="1"/>
    </i>
    <i r="1">
      <x v="7"/>
    </i>
    <i r="1">
      <x v="11"/>
    </i>
    <i>
      <x v="2"/>
      <x/>
    </i>
    <i r="1">
      <x v="2"/>
    </i>
    <i r="1">
      <x v="9"/>
    </i>
    <i>
      <x v="3"/>
      <x v="5"/>
    </i>
    <i r="1">
      <x v="6"/>
    </i>
    <i r="1">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ables/table1.xml><?xml version="1.0" encoding="utf-8"?>
<table xmlns="http://schemas.openxmlformats.org/spreadsheetml/2006/main" id="2" name="Table2" displayName="Table2" ref="A1:M21" totalsRowShown="0" headerRowDxfId="29" dataDxfId="27" headerRowBorderDxfId="28" totalsRowBorderDxfId="26" headerRowCellStyle="Accent5" dataCellStyle="Accent5">
  <tableColumns count="13">
    <tableColumn id="1" name="ID" dataDxfId="25" dataCellStyle="Accent5"/>
    <tableColumn id="10" name="Module" dataDxfId="24" dataCellStyle="Accent5"/>
    <tableColumn id="8" name="Sub-Module" dataDxfId="23" dataCellStyle="Accent5"/>
    <tableColumn id="7" name="Page" dataDxfId="22" dataCellStyle="Accent5"/>
    <tableColumn id="6" name="Activity Pillar" dataDxfId="21" dataCellStyle="Accent5"/>
    <tableColumn id="2" name="Action" dataDxfId="20" dataCellStyle="Accent5"/>
    <tableColumn id="3" name="Event" dataDxfId="19" dataCellStyle="Accent5"/>
    <tableColumn id="4" name="Timeline" dataDxfId="18" dataCellStyle="Accent5"/>
    <tableColumn id="11" name="Expected Completion Date" dataDxfId="17" dataCellStyle="Accent5"/>
    <tableColumn id="9" name="Completion Date" dataDxfId="16" dataCellStyle="Accent5"/>
    <tableColumn id="5" name="Status" dataDxfId="15" dataCellStyle="Accent5">
      <calculatedColumnFormula>IF(OR(Table2[[#This Row],[Completion Date]]="", Table2[[#This Row],[Page]]=""),"Pending", "Completed")</calculatedColumnFormula>
    </tableColumn>
    <tableColumn id="13" name="submodule range" dataDxfId="14" dataCellStyle="Accent5">
      <calculatedColumnFormula array="1">IF(ISBLANK(Table2[[#This Row],[Module]]),"data!$I$3:$I" &amp; COUNTA(data!$I:$I), "data!$P" &amp; MATCH(Table2[[#This Row],[Module]], data!$O:$O,0)&amp;":$P"&amp;MAX(IF(data!$O:$O=Table2[[#This Row],[Module]], ROW(data!$O:$O))))</calculatedColumnFormula>
    </tableColumn>
    <tableColumn id="14" name="page range" dataDxfId="13" dataCellStyle="Accent5">
      <calculatedColumnFormula array="1">IF(ISBLANK(Table2[[#This Row],[Sub-Module]]),"data!$K$3:$K" &amp; COUNTA(data!$K:$K), "data!$S" &amp; MATCH(Table2[[#This Row],[Sub-Module]], data!$R:$R,0)&amp;":$S"&amp;MAX(IF(data!$R:$R=Table2[[#This Row],[Sub-Module]], ROW(data!$R:$R))))</calculatedColumnFormula>
    </tableColumn>
  </tableColumns>
  <tableStyleInfo name="TableStyleMedium6" showFirstColumn="0" showLastColumn="0" showRowStripes="1" showColumnStripes="0"/>
</table>
</file>

<file path=xl/tables/table2.xml><?xml version="1.0" encoding="utf-8"?>
<table xmlns="http://schemas.openxmlformats.org/spreadsheetml/2006/main" id="1" name="Table1" displayName="Table1" ref="A2:E6" totalsRowShown="0" headerRowDxfId="12" dataDxfId="10" headerRowBorderDxfId="11" tableBorderDxfId="9">
  <autoFilter ref="A2:E6"/>
  <tableColumns count="5">
    <tableColumn id="1" name="Page/Section" dataDxfId="8"/>
    <tableColumn id="2" name="Description" dataDxfId="7"/>
    <tableColumn id="3" name="Form Fields" dataDxfId="6"/>
    <tableColumn id="4" name="Pagination" dataDxfId="5"/>
    <tableColumn id="5" name="Build Instruction/Guide" dataDxfId="4"/>
  </tableColumns>
  <tableStyleInfo name="TableStyleMedium2" showFirstColumn="0" showLastColumn="0" showRowStripes="1" showColumnStripes="0"/>
</table>
</file>

<file path=xl/tables/table3.xml><?xml version="1.0" encoding="utf-8"?>
<table xmlns="http://schemas.openxmlformats.org/spreadsheetml/2006/main" id="3" name="data" displayName="data" ref="A1:D49" totalsRowShown="0">
  <autoFilter ref="A1:D49"/>
  <tableColumns count="4">
    <tableColumn id="1" name="module" dataDxfId="3"/>
    <tableColumn id="2" name="submodule" dataDxfId="2"/>
    <tableColumn id="3" name="page" dataDxfId="1"/>
    <tableColumn id="4" name="statu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3.xml"/><Relationship Id="rId7"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
  <sheetViews>
    <sheetView topLeftCell="E1" workbookViewId="0">
      <selection activeCell="B1" sqref="B1:G1"/>
    </sheetView>
  </sheetViews>
  <sheetFormatPr defaultRowHeight="14.4" x14ac:dyDescent="0.3"/>
  <cols>
    <col min="1" max="5" width="24.77734375" customWidth="1"/>
    <col min="6" max="6" width="17.44140625" customWidth="1"/>
    <col min="7" max="7" width="16.5546875" customWidth="1"/>
    <col min="8" max="8" width="17.21875" customWidth="1"/>
    <col min="9" max="9" width="17.21875" style="26" customWidth="1"/>
    <col min="10" max="10" width="21.5546875" style="26" customWidth="1"/>
    <col min="11" max="11" width="12.5546875" customWidth="1"/>
    <col min="12" max="12" width="17" customWidth="1"/>
    <col min="13" max="13" width="17.88671875" customWidth="1"/>
  </cols>
  <sheetData>
    <row r="1" spans="1:13" s="23" customFormat="1" ht="54.6" thickBot="1" x14ac:dyDescent="0.4">
      <c r="A1" s="20" t="s">
        <v>233</v>
      </c>
      <c r="B1" s="20" t="s">
        <v>207</v>
      </c>
      <c r="C1" s="21" t="s">
        <v>234</v>
      </c>
      <c r="D1" s="21" t="s">
        <v>231</v>
      </c>
      <c r="E1" s="21" t="s">
        <v>129</v>
      </c>
      <c r="F1" s="20" t="s">
        <v>130</v>
      </c>
      <c r="G1" s="20" t="s">
        <v>131</v>
      </c>
      <c r="H1" s="20" t="s">
        <v>132</v>
      </c>
      <c r="I1" s="24" t="s">
        <v>238</v>
      </c>
      <c r="J1" s="24" t="s">
        <v>232</v>
      </c>
      <c r="K1" s="22" t="s">
        <v>133</v>
      </c>
      <c r="L1" s="20" t="s">
        <v>235</v>
      </c>
      <c r="M1" s="20" t="s">
        <v>236</v>
      </c>
    </row>
    <row r="2" spans="1:13" ht="72.599999999999994" thickBot="1" x14ac:dyDescent="0.35">
      <c r="A2" s="12">
        <v>1</v>
      </c>
      <c r="B2" s="12" t="s">
        <v>198</v>
      </c>
      <c r="C2" s="13" t="s">
        <v>10</v>
      </c>
      <c r="D2" s="13" t="s">
        <v>212</v>
      </c>
      <c r="E2" s="13" t="s">
        <v>134</v>
      </c>
      <c r="F2" s="14" t="s">
        <v>135</v>
      </c>
      <c r="G2" s="14" t="s">
        <v>136</v>
      </c>
      <c r="H2" s="14" t="s">
        <v>137</v>
      </c>
      <c r="I2" s="15">
        <v>45373</v>
      </c>
      <c r="J2" s="15">
        <v>45371</v>
      </c>
      <c r="K2" s="16" t="str">
        <f>IF(OR(Table2[[#This Row],[Completion Date]]="", Table2[[#This Row],[Page]]=""),"Pending", "Completed")</f>
        <v>Completed</v>
      </c>
      <c r="L2" s="17" t="str">
        <f t="array" ref="L2">IF(ISBLANK(Table2[[#This Row],[Module]]),"data!$I$3:$I" &amp; COUNTA(data!$I:$I), "data!$P" &amp; MATCH(Table2[[#This Row],[Module]], data!$O:$O,0)&amp;":$P"&amp;MAX(IF(data!$O:$O=Table2[[#This Row],[Module]], ROW(data!$O:$O))))</f>
        <v>data!$P5:$P7</v>
      </c>
      <c r="M2" s="14" t="str">
        <f t="array" ref="M2">IF(ISBLANK(Table2[[#This Row],[Sub-Module]]),"data!$K$3:$K" &amp; COUNTA(data!$K:$K), "data!$S" &amp; MATCH(Table2[[#This Row],[Sub-Module]], data!$R:$R,0)&amp;":$S"&amp;MAX(IF(data!$R:$R=Table2[[#This Row],[Sub-Module]], ROW(data!$R:$R))))</f>
        <v>data!$S16:$S17</v>
      </c>
    </row>
    <row r="3" spans="1:13" ht="90.6" thickBot="1" x14ac:dyDescent="0.35">
      <c r="A3" s="13">
        <f t="shared" ref="A3:A21" si="0">IF(LEN(B3)=0,"",A2+1)</f>
        <v>2</v>
      </c>
      <c r="B3" s="12" t="s">
        <v>198</v>
      </c>
      <c r="C3" s="13" t="s">
        <v>10</v>
      </c>
      <c r="D3" s="13" t="s">
        <v>212</v>
      </c>
      <c r="E3" s="13" t="s">
        <v>134</v>
      </c>
      <c r="F3" s="14" t="s">
        <v>138</v>
      </c>
      <c r="G3" s="14" t="s">
        <v>139</v>
      </c>
      <c r="H3" s="14" t="s">
        <v>137</v>
      </c>
      <c r="I3" s="15">
        <v>45343</v>
      </c>
      <c r="J3" s="15"/>
      <c r="K3" s="16" t="str">
        <f>IF(OR(Table2[[#This Row],[Completion Date]]="", Table2[[#This Row],[Page]]=""),"Pending", "Completed")</f>
        <v>Pending</v>
      </c>
      <c r="L3" s="14" t="str">
        <f t="array" ref="L3">IF(ISBLANK(Table2[[#This Row],[Module]]),"data!$I$3:$I" &amp; COUNTA(data!$I:$I), "data!$P" &amp; MATCH(Table2[[#This Row],[Module]], data!$O:$O,0)&amp;":$P"&amp;MAX(IF(data!$O:$O=Table2[[#This Row],[Module]], ROW(data!$O:$O))))</f>
        <v>data!$P5:$P7</v>
      </c>
      <c r="M3" s="14" t="str">
        <f t="array" ref="M3">IF(ISBLANK(Table2[[#This Row],[Sub-Module]]),"data!$K$3:$K" &amp; COUNTA(data!$K:$K), "data!$S" &amp; MATCH(Table2[[#This Row],[Sub-Module]], data!$R:$R,0)&amp;":$S"&amp;MAX(IF(data!$R:$R=Table2[[#This Row],[Sub-Module]], ROW(data!$R:$R))))</f>
        <v>data!$S16:$S17</v>
      </c>
    </row>
    <row r="4" spans="1:13" ht="108.6" thickBot="1" x14ac:dyDescent="0.35">
      <c r="A4" s="13" t="str">
        <f t="shared" si="0"/>
        <v/>
      </c>
      <c r="B4" s="12"/>
      <c r="C4" s="13"/>
      <c r="D4" s="13"/>
      <c r="E4" s="13" t="s">
        <v>140</v>
      </c>
      <c r="F4" s="14" t="s">
        <v>141</v>
      </c>
      <c r="G4" s="14" t="s">
        <v>142</v>
      </c>
      <c r="H4" s="14" t="s">
        <v>143</v>
      </c>
      <c r="I4" s="15">
        <v>45404</v>
      </c>
      <c r="J4" s="15"/>
      <c r="K4" s="16" t="str">
        <f>IF(OR(Table2[[#This Row],[Completion Date]]="", Table2[[#This Row],[Page]]=""),"Pending", "Completed")</f>
        <v>Pending</v>
      </c>
      <c r="L4" s="14" t="str">
        <f t="array" ref="L4">IF(ISBLANK(Table2[[#This Row],[Module]]),"data!$I$3:$I" &amp; COUNTA(data!$I:$I), "data!$P" &amp; MATCH(Table2[[#This Row],[Module]], data!$O:$O,0)&amp;":$P"&amp;MAX(IF(data!$O:$O=Table2[[#This Row],[Module]], ROW(data!$O:$O))))</f>
        <v>data!$I$3:$I13</v>
      </c>
      <c r="M4" s="14" t="str">
        <f t="array" ref="M4">IF(ISBLANK(Table2[[#This Row],[Sub-Module]]),"data!$K$3:$K" &amp; COUNTA(data!$K:$K), "data!$S" &amp; MATCH(Table2[[#This Row],[Sub-Module]], data!$R:$R,0)&amp;":$S"&amp;MAX(IF(data!$R:$R=Table2[[#This Row],[Sub-Module]], ROW(data!$R:$R))))</f>
        <v>data!$K$3:$K25</v>
      </c>
    </row>
    <row r="5" spans="1:13" ht="126.6" thickBot="1" x14ac:dyDescent="0.35">
      <c r="A5" s="13" t="str">
        <f t="shared" si="0"/>
        <v/>
      </c>
      <c r="B5" s="12"/>
      <c r="C5" s="13"/>
      <c r="D5" s="13"/>
      <c r="E5" s="13" t="s">
        <v>140</v>
      </c>
      <c r="F5" s="14" t="s">
        <v>144</v>
      </c>
      <c r="G5" s="14" t="s">
        <v>145</v>
      </c>
      <c r="H5" s="14" t="s">
        <v>143</v>
      </c>
      <c r="I5" s="15">
        <v>45378</v>
      </c>
      <c r="J5" s="15"/>
      <c r="K5" s="16" t="str">
        <f>IF(OR(Table2[[#This Row],[Completion Date]]="", Table2[[#This Row],[Page]]=""),"Pending", "Completed")</f>
        <v>Pending</v>
      </c>
      <c r="L5" s="14" t="str">
        <f t="array" ref="L5">IF(ISBLANK(Table2[[#This Row],[Module]]),"data!$I$3:$I" &amp; COUNTA(data!$I:$I), "data!$P" &amp; MATCH(Table2[[#This Row],[Module]], data!$O:$O,0)&amp;":$P"&amp;MAX(IF(data!$O:$O=Table2[[#This Row],[Module]], ROW(data!$O:$O))))</f>
        <v>data!$I$3:$I13</v>
      </c>
      <c r="M5" s="14" t="str">
        <f t="array" ref="M5">IF(ISBLANK(Table2[[#This Row],[Sub-Module]]),"data!$K$3:$K" &amp; COUNTA(data!$K:$K), "data!$S" &amp; MATCH(Table2[[#This Row],[Sub-Module]], data!$R:$R,0)&amp;":$S"&amp;MAX(IF(data!$R:$R=Table2[[#This Row],[Sub-Module]], ROW(data!$R:$R))))</f>
        <v>data!$K$3:$K25</v>
      </c>
    </row>
    <row r="6" spans="1:13" ht="72.599999999999994" thickBot="1" x14ac:dyDescent="0.35">
      <c r="A6" s="13" t="str">
        <f t="shared" si="0"/>
        <v/>
      </c>
      <c r="B6" s="12"/>
      <c r="C6" s="13"/>
      <c r="D6" s="13"/>
      <c r="E6" s="13" t="s">
        <v>140</v>
      </c>
      <c r="F6" s="14" t="s">
        <v>146</v>
      </c>
      <c r="G6" s="14" t="s">
        <v>147</v>
      </c>
      <c r="H6" s="14" t="s">
        <v>148</v>
      </c>
      <c r="I6" s="15">
        <v>45376</v>
      </c>
      <c r="J6" s="15"/>
      <c r="K6" s="16" t="str">
        <f>IF(OR(Table2[[#This Row],[Completion Date]]="", Table2[[#This Row],[Page]]=""),"Pending", "Completed")</f>
        <v>Pending</v>
      </c>
      <c r="L6" s="14" t="str">
        <f t="array" ref="L6">IF(ISBLANK(Table2[[#This Row],[Module]]),"data!$I$3:$I" &amp; COUNTA(data!$I:$I), "data!$P" &amp; MATCH(Table2[[#This Row],[Module]], data!$O:$O,0)&amp;":$P"&amp;MAX(IF(data!$O:$O=Table2[[#This Row],[Module]], ROW(data!$O:$O))))</f>
        <v>data!$I$3:$I13</v>
      </c>
      <c r="M6" s="14" t="str">
        <f t="array" ref="M6">IF(ISBLANK(Table2[[#This Row],[Sub-Module]]),"data!$K$3:$K" &amp; COUNTA(data!$K:$K), "data!$S" &amp; MATCH(Table2[[#This Row],[Sub-Module]], data!$R:$R,0)&amp;":$S"&amp;MAX(IF(data!$R:$R=Table2[[#This Row],[Sub-Module]], ROW(data!$R:$R))))</f>
        <v>data!$K$3:$K25</v>
      </c>
    </row>
    <row r="7" spans="1:13" ht="126.6" thickBot="1" x14ac:dyDescent="0.35">
      <c r="A7" s="13" t="str">
        <f t="shared" si="0"/>
        <v/>
      </c>
      <c r="B7" s="12"/>
      <c r="C7" s="13"/>
      <c r="D7" s="13"/>
      <c r="E7" s="13" t="s">
        <v>149</v>
      </c>
      <c r="F7" s="14" t="s">
        <v>150</v>
      </c>
      <c r="G7" s="14" t="s">
        <v>151</v>
      </c>
      <c r="H7" s="14" t="s">
        <v>137</v>
      </c>
      <c r="I7" s="15"/>
      <c r="J7" s="15"/>
      <c r="K7" s="16" t="str">
        <f>IF(OR(Table2[[#This Row],[Completion Date]]="", Table2[[#This Row],[Page]]=""),"Pending", "Completed")</f>
        <v>Pending</v>
      </c>
      <c r="L7" s="14" t="str">
        <f t="array" ref="L7">IF(ISBLANK(Table2[[#This Row],[Module]]),"data!$I$3:$I" &amp; COUNTA(data!$I:$I), "data!$P" &amp; MATCH(Table2[[#This Row],[Module]], data!$O:$O,0)&amp;":$P"&amp;MAX(IF(data!$O:$O=Table2[[#This Row],[Module]], ROW(data!$O:$O))))</f>
        <v>data!$I$3:$I13</v>
      </c>
      <c r="M7" s="14" t="str">
        <f t="array" ref="M7">IF(ISBLANK(Table2[[#This Row],[Sub-Module]]),"data!$K$3:$K" &amp; COUNTA(data!$K:$K), "data!$S" &amp; MATCH(Table2[[#This Row],[Sub-Module]], data!$R:$R,0)&amp;":$S"&amp;MAX(IF(data!$R:$R=Table2[[#This Row],[Sub-Module]], ROW(data!$R:$R))))</f>
        <v>data!$K$3:$K25</v>
      </c>
    </row>
    <row r="8" spans="1:13" ht="90.6" thickBot="1" x14ac:dyDescent="0.35">
      <c r="A8" s="13" t="str">
        <f t="shared" si="0"/>
        <v/>
      </c>
      <c r="B8" s="12"/>
      <c r="C8" s="13"/>
      <c r="D8" s="13"/>
      <c r="E8" s="13" t="s">
        <v>149</v>
      </c>
      <c r="F8" s="14" t="s">
        <v>152</v>
      </c>
      <c r="G8" s="14" t="s">
        <v>153</v>
      </c>
      <c r="H8" s="14" t="s">
        <v>154</v>
      </c>
      <c r="I8" s="15"/>
      <c r="J8" s="15"/>
      <c r="K8" s="16" t="str">
        <f>IF(OR(Table2[[#This Row],[Completion Date]]="", Table2[[#This Row],[Page]]=""),"Pending", "Completed")</f>
        <v>Pending</v>
      </c>
      <c r="L8" s="14" t="str">
        <f t="array" ref="L8">IF(ISBLANK(Table2[[#This Row],[Module]]),"data!$I$3:$I" &amp; COUNTA(data!$I:$I), "data!$P" &amp; MATCH(Table2[[#This Row],[Module]], data!$O:$O,0)&amp;":$P"&amp;MAX(IF(data!$O:$O=Table2[[#This Row],[Module]], ROW(data!$O:$O))))</f>
        <v>data!$I$3:$I13</v>
      </c>
      <c r="M8" s="14" t="str">
        <f t="array" ref="M8">IF(ISBLANK(Table2[[#This Row],[Sub-Module]]),"data!$K$3:$K" &amp; COUNTA(data!$K:$K), "data!$S" &amp; MATCH(Table2[[#This Row],[Sub-Module]], data!$R:$R,0)&amp;":$S"&amp;MAX(IF(data!$R:$R=Table2[[#This Row],[Sub-Module]], ROW(data!$R:$R))))</f>
        <v>data!$K$3:$K25</v>
      </c>
    </row>
    <row r="9" spans="1:13" ht="108.6" thickBot="1" x14ac:dyDescent="0.35">
      <c r="A9" s="13" t="str">
        <f t="shared" si="0"/>
        <v/>
      </c>
      <c r="B9" s="12"/>
      <c r="C9" s="13"/>
      <c r="D9" s="13"/>
      <c r="E9" s="13" t="s">
        <v>149</v>
      </c>
      <c r="F9" s="14" t="s">
        <v>155</v>
      </c>
      <c r="G9" s="14" t="s">
        <v>156</v>
      </c>
      <c r="H9" s="14" t="s">
        <v>137</v>
      </c>
      <c r="I9" s="15"/>
      <c r="J9" s="15"/>
      <c r="K9" s="16" t="str">
        <f>IF(OR(Table2[[#This Row],[Completion Date]]="", Table2[[#This Row],[Page]]=""),"Pending", "Completed")</f>
        <v>Pending</v>
      </c>
      <c r="L9" s="14" t="str">
        <f t="array" ref="L9">IF(ISBLANK(Table2[[#This Row],[Module]]),"data!$I$3:$I" &amp; COUNTA(data!$I:$I), "data!$P" &amp; MATCH(Table2[[#This Row],[Module]], data!$O:$O,0)&amp;":$P"&amp;MAX(IF(data!$O:$O=Table2[[#This Row],[Module]], ROW(data!$O:$O))))</f>
        <v>data!$I$3:$I13</v>
      </c>
      <c r="M9" s="14" t="str">
        <f t="array" ref="M9">IF(ISBLANK(Table2[[#This Row],[Sub-Module]]),"data!$K$3:$K" &amp; COUNTA(data!$K:$K), "data!$S" &amp; MATCH(Table2[[#This Row],[Sub-Module]], data!$R:$R,0)&amp;":$S"&amp;MAX(IF(data!$R:$R=Table2[[#This Row],[Sub-Module]], ROW(data!$R:$R))))</f>
        <v>data!$K$3:$K25</v>
      </c>
    </row>
    <row r="10" spans="1:13" ht="72.599999999999994" thickBot="1" x14ac:dyDescent="0.35">
      <c r="A10" s="13" t="str">
        <f t="shared" si="0"/>
        <v/>
      </c>
      <c r="B10" s="12"/>
      <c r="C10" s="13"/>
      <c r="D10" s="13"/>
      <c r="E10" s="13" t="s">
        <v>157</v>
      </c>
      <c r="F10" s="14" t="s">
        <v>158</v>
      </c>
      <c r="G10" s="14" t="s">
        <v>159</v>
      </c>
      <c r="H10" s="14" t="s">
        <v>160</v>
      </c>
      <c r="I10" s="15"/>
      <c r="J10" s="15"/>
      <c r="K10" s="16" t="str">
        <f>IF(OR(Table2[[#This Row],[Completion Date]]="", Table2[[#This Row],[Page]]=""),"Pending", "Completed")</f>
        <v>Pending</v>
      </c>
      <c r="L10" s="14" t="str">
        <f t="array" ref="L10">IF(ISBLANK(Table2[[#This Row],[Module]]),"data!$I$3:$I" &amp; COUNTA(data!$I:$I), "data!$P" &amp; MATCH(Table2[[#This Row],[Module]], data!$O:$O,0)&amp;":$P"&amp;MAX(IF(data!$O:$O=Table2[[#This Row],[Module]], ROW(data!$O:$O))))</f>
        <v>data!$I$3:$I13</v>
      </c>
      <c r="M10" s="14" t="str">
        <f t="array" ref="M10">IF(ISBLANK(Table2[[#This Row],[Sub-Module]]),"data!$K$3:$K" &amp; COUNTA(data!$K:$K), "data!$S" &amp; MATCH(Table2[[#This Row],[Sub-Module]], data!$R:$R,0)&amp;":$S"&amp;MAX(IF(data!$R:$R=Table2[[#This Row],[Sub-Module]], ROW(data!$R:$R))))</f>
        <v>data!$K$3:$K25</v>
      </c>
    </row>
    <row r="11" spans="1:13" ht="90.6" thickBot="1" x14ac:dyDescent="0.35">
      <c r="A11" s="13" t="str">
        <f t="shared" si="0"/>
        <v/>
      </c>
      <c r="B11" s="12"/>
      <c r="C11" s="13"/>
      <c r="D11" s="13"/>
      <c r="E11" s="13" t="s">
        <v>157</v>
      </c>
      <c r="F11" s="14" t="s">
        <v>162</v>
      </c>
      <c r="G11" s="14" t="s">
        <v>163</v>
      </c>
      <c r="H11" s="14" t="s">
        <v>164</v>
      </c>
      <c r="I11" s="15"/>
      <c r="J11" s="15"/>
      <c r="K11" s="16" t="str">
        <f>IF(OR(Table2[[#This Row],[Completion Date]]="", Table2[[#This Row],[Page]]=""),"Pending", "Completed")</f>
        <v>Pending</v>
      </c>
      <c r="L11" s="14" t="str">
        <f t="array" ref="L11">IF(ISBLANK(Table2[[#This Row],[Module]]),"data!$I$3:$I" &amp; COUNTA(data!$I:$I), "data!$P" &amp; MATCH(Table2[[#This Row],[Module]], data!$O:$O,0)&amp;":$P"&amp;MAX(IF(data!$O:$O=Table2[[#This Row],[Module]], ROW(data!$O:$O))))</f>
        <v>data!$I$3:$I13</v>
      </c>
      <c r="M11" s="14" t="str">
        <f t="array" ref="M11">IF(ISBLANK(Table2[[#This Row],[Sub-Module]]),"data!$K$3:$K" &amp; COUNTA(data!$K:$K), "data!$S" &amp; MATCH(Table2[[#This Row],[Sub-Module]], data!$R:$R,0)&amp;":$S"&amp;MAX(IF(data!$R:$R=Table2[[#This Row],[Sub-Module]], ROW(data!$R:$R))))</f>
        <v>data!$K$3:$K25</v>
      </c>
    </row>
    <row r="12" spans="1:13" ht="126.6" thickBot="1" x14ac:dyDescent="0.35">
      <c r="A12" s="13" t="str">
        <f t="shared" si="0"/>
        <v/>
      </c>
      <c r="B12" s="12"/>
      <c r="C12" s="13"/>
      <c r="D12" s="13"/>
      <c r="E12" s="13" t="s">
        <v>157</v>
      </c>
      <c r="F12" s="14" t="s">
        <v>165</v>
      </c>
      <c r="G12" s="14" t="s">
        <v>166</v>
      </c>
      <c r="H12" s="14" t="s">
        <v>167</v>
      </c>
      <c r="I12" s="15"/>
      <c r="J12" s="15"/>
      <c r="K12" s="16" t="str">
        <f>IF(OR(Table2[[#This Row],[Completion Date]]="", Table2[[#This Row],[Page]]=""),"Pending", "Completed")</f>
        <v>Pending</v>
      </c>
      <c r="L12" s="14" t="str">
        <f t="array" ref="L12">IF(ISBLANK(Table2[[#This Row],[Module]]),"data!$I$3:$I" &amp; COUNTA(data!$I:$I), "data!$P" &amp; MATCH(Table2[[#This Row],[Module]], data!$O:$O,0)&amp;":$P"&amp;MAX(IF(data!$O:$O=Table2[[#This Row],[Module]], ROW(data!$O:$O))))</f>
        <v>data!$I$3:$I13</v>
      </c>
      <c r="M12" s="14" t="str">
        <f t="array" ref="M12">IF(ISBLANK(Table2[[#This Row],[Sub-Module]]),"data!$K$3:$K" &amp; COUNTA(data!$K:$K), "data!$S" &amp; MATCH(Table2[[#This Row],[Sub-Module]], data!$R:$R,0)&amp;":$S"&amp;MAX(IF(data!$R:$R=Table2[[#This Row],[Sub-Module]], ROW(data!$R:$R))))</f>
        <v>data!$K$3:$K25</v>
      </c>
    </row>
    <row r="13" spans="1:13" ht="108.6" thickBot="1" x14ac:dyDescent="0.35">
      <c r="A13" s="13" t="str">
        <f t="shared" si="0"/>
        <v/>
      </c>
      <c r="B13" s="12"/>
      <c r="C13" s="13"/>
      <c r="D13" s="13"/>
      <c r="E13" s="13" t="s">
        <v>157</v>
      </c>
      <c r="F13" s="14" t="s">
        <v>168</v>
      </c>
      <c r="G13" s="14" t="s">
        <v>169</v>
      </c>
      <c r="H13" s="14" t="s">
        <v>170</v>
      </c>
      <c r="I13" s="15"/>
      <c r="J13" s="15"/>
      <c r="K13" s="16" t="str">
        <f>IF(OR(Table2[[#This Row],[Completion Date]]="", Table2[[#This Row],[Page]]=""),"Pending", "Completed")</f>
        <v>Pending</v>
      </c>
      <c r="L13" s="14" t="str">
        <f t="array" ref="L13">IF(ISBLANK(Table2[[#This Row],[Module]]),"data!$I$3:$I" &amp; COUNTA(data!$I:$I), "data!$P" &amp; MATCH(Table2[[#This Row],[Module]], data!$O:$O,0)&amp;":$P"&amp;MAX(IF(data!$O:$O=Table2[[#This Row],[Module]], ROW(data!$O:$O))))</f>
        <v>data!$I$3:$I13</v>
      </c>
      <c r="M13" s="14" t="str">
        <f t="array" ref="M13">IF(ISBLANK(Table2[[#This Row],[Sub-Module]]),"data!$K$3:$K" &amp; COUNTA(data!$K:$K), "data!$S" &amp; MATCH(Table2[[#This Row],[Sub-Module]], data!$R:$R,0)&amp;":$S"&amp;MAX(IF(data!$R:$R=Table2[[#This Row],[Sub-Module]], ROW(data!$R:$R))))</f>
        <v>data!$K$3:$K25</v>
      </c>
    </row>
    <row r="14" spans="1:13" ht="90.6" thickBot="1" x14ac:dyDescent="0.35">
      <c r="A14" s="13" t="str">
        <f t="shared" si="0"/>
        <v/>
      </c>
      <c r="B14" s="12"/>
      <c r="C14" s="13"/>
      <c r="D14" s="13"/>
      <c r="E14" s="13" t="s">
        <v>171</v>
      </c>
      <c r="F14" s="14" t="s">
        <v>172</v>
      </c>
      <c r="G14" s="14" t="s">
        <v>173</v>
      </c>
      <c r="H14" s="14" t="s">
        <v>174</v>
      </c>
      <c r="I14" s="15"/>
      <c r="J14" s="15"/>
      <c r="K14" s="16" t="str">
        <f>IF(OR(Table2[[#This Row],[Completion Date]]="", Table2[[#This Row],[Page]]=""),"Pending", "Completed")</f>
        <v>Pending</v>
      </c>
      <c r="L14" s="14" t="str">
        <f t="array" ref="L14">IF(ISBLANK(Table2[[#This Row],[Module]]),"data!$I$3:$I" &amp; COUNTA(data!$I:$I), "data!$P" &amp; MATCH(Table2[[#This Row],[Module]], data!$O:$O,0)&amp;":$P"&amp;MAX(IF(data!$O:$O=Table2[[#This Row],[Module]], ROW(data!$O:$O))))</f>
        <v>data!$I$3:$I13</v>
      </c>
      <c r="M14" s="14" t="str">
        <f t="array" ref="M14">IF(ISBLANK(Table2[[#This Row],[Sub-Module]]),"data!$K$3:$K" &amp; COUNTA(data!$K:$K), "data!$S" &amp; MATCH(Table2[[#This Row],[Sub-Module]], data!$R:$R,0)&amp;":$S"&amp;MAX(IF(data!$R:$R=Table2[[#This Row],[Sub-Module]], ROW(data!$R:$R))))</f>
        <v>data!$K$3:$K25</v>
      </c>
    </row>
    <row r="15" spans="1:13" ht="126.6" thickBot="1" x14ac:dyDescent="0.35">
      <c r="A15" s="13" t="str">
        <f t="shared" si="0"/>
        <v/>
      </c>
      <c r="B15" s="12"/>
      <c r="C15" s="13"/>
      <c r="D15" s="13"/>
      <c r="E15" s="13" t="s">
        <v>171</v>
      </c>
      <c r="F15" s="14" t="s">
        <v>175</v>
      </c>
      <c r="G15" s="14" t="s">
        <v>176</v>
      </c>
      <c r="H15" s="14" t="s">
        <v>177</v>
      </c>
      <c r="I15" s="15"/>
      <c r="J15" s="15"/>
      <c r="K15" s="16" t="str">
        <f>IF(OR(Table2[[#This Row],[Completion Date]]="", Table2[[#This Row],[Page]]=""),"Pending", "Completed")</f>
        <v>Pending</v>
      </c>
      <c r="L15" s="14" t="str">
        <f t="array" ref="L15">IF(ISBLANK(Table2[[#This Row],[Module]]),"data!$I$3:$I" &amp; COUNTA(data!$I:$I), "data!$P" &amp; MATCH(Table2[[#This Row],[Module]], data!$O:$O,0)&amp;":$P"&amp;MAX(IF(data!$O:$O=Table2[[#This Row],[Module]], ROW(data!$O:$O))))</f>
        <v>data!$I$3:$I13</v>
      </c>
      <c r="M15" s="14" t="str">
        <f t="array" ref="M15">IF(ISBLANK(Table2[[#This Row],[Sub-Module]]),"data!$K$3:$K" &amp; COUNTA(data!$K:$K), "data!$S" &amp; MATCH(Table2[[#This Row],[Sub-Module]], data!$R:$R,0)&amp;":$S"&amp;MAX(IF(data!$R:$R=Table2[[#This Row],[Sub-Module]], ROW(data!$R:$R))))</f>
        <v>data!$K$3:$K25</v>
      </c>
    </row>
    <row r="16" spans="1:13" ht="126.6" thickBot="1" x14ac:dyDescent="0.35">
      <c r="A16" s="13" t="str">
        <f t="shared" si="0"/>
        <v/>
      </c>
      <c r="B16" s="12"/>
      <c r="C16" s="13"/>
      <c r="D16" s="13"/>
      <c r="E16" s="13" t="s">
        <v>171</v>
      </c>
      <c r="F16" s="14" t="s">
        <v>178</v>
      </c>
      <c r="G16" s="14" t="s">
        <v>179</v>
      </c>
      <c r="H16" s="14" t="s">
        <v>180</v>
      </c>
      <c r="I16" s="15"/>
      <c r="J16" s="15"/>
      <c r="K16" s="16" t="str">
        <f>IF(OR(Table2[[#This Row],[Completion Date]]="", Table2[[#This Row],[Page]]=""),"Pending", "Completed")</f>
        <v>Pending</v>
      </c>
      <c r="L16" s="14" t="str">
        <f t="array" ref="L16">IF(ISBLANK(Table2[[#This Row],[Module]]),"data!$I$3:$I" &amp; COUNTA(data!$I:$I), "data!$P" &amp; MATCH(Table2[[#This Row],[Module]], data!$O:$O,0)&amp;":$P"&amp;MAX(IF(data!$O:$O=Table2[[#This Row],[Module]], ROW(data!$O:$O))))</f>
        <v>data!$I$3:$I13</v>
      </c>
      <c r="M16" s="14" t="str">
        <f t="array" ref="M16">IF(ISBLANK(Table2[[#This Row],[Sub-Module]]),"data!$K$3:$K" &amp; COUNTA(data!$K:$K), "data!$S" &amp; MATCH(Table2[[#This Row],[Sub-Module]], data!$R:$R,0)&amp;":$S"&amp;MAX(IF(data!$R:$R=Table2[[#This Row],[Sub-Module]], ROW(data!$R:$R))))</f>
        <v>data!$K$3:$K25</v>
      </c>
    </row>
    <row r="17" spans="1:13" ht="108.6" thickBot="1" x14ac:dyDescent="0.35">
      <c r="A17" s="13" t="str">
        <f t="shared" si="0"/>
        <v/>
      </c>
      <c r="B17" s="12"/>
      <c r="C17" s="13"/>
      <c r="D17" s="13"/>
      <c r="E17" s="13" t="s">
        <v>181</v>
      </c>
      <c r="F17" s="14" t="s">
        <v>182</v>
      </c>
      <c r="G17" s="14" t="s">
        <v>183</v>
      </c>
      <c r="H17" s="14" t="s">
        <v>184</v>
      </c>
      <c r="I17" s="15"/>
      <c r="J17" s="15"/>
      <c r="K17" s="16" t="str">
        <f>IF(OR(Table2[[#This Row],[Completion Date]]="", Table2[[#This Row],[Page]]=""),"Pending", "Completed")</f>
        <v>Pending</v>
      </c>
      <c r="L17" s="14" t="str">
        <f t="array" ref="L17">IF(ISBLANK(Table2[[#This Row],[Module]]),"data!$I$3:$I" &amp; COUNTA(data!$I:$I), "data!$P" &amp; MATCH(Table2[[#This Row],[Module]], data!$O:$O,0)&amp;":$P"&amp;MAX(IF(data!$O:$O=Table2[[#This Row],[Module]], ROW(data!$O:$O))))</f>
        <v>data!$I$3:$I13</v>
      </c>
      <c r="M17" s="14" t="str">
        <f t="array" ref="M17">IF(ISBLANK(Table2[[#This Row],[Sub-Module]]),"data!$K$3:$K" &amp; COUNTA(data!$K:$K), "data!$S" &amp; MATCH(Table2[[#This Row],[Sub-Module]], data!$R:$R,0)&amp;":$S"&amp;MAX(IF(data!$R:$R=Table2[[#This Row],[Sub-Module]], ROW(data!$R:$R))))</f>
        <v>data!$K$3:$K25</v>
      </c>
    </row>
    <row r="18" spans="1:13" ht="126.6" thickBot="1" x14ac:dyDescent="0.35">
      <c r="A18" s="13" t="str">
        <f t="shared" si="0"/>
        <v/>
      </c>
      <c r="B18" s="12"/>
      <c r="C18" s="13"/>
      <c r="D18" s="13"/>
      <c r="E18" s="13" t="s">
        <v>181</v>
      </c>
      <c r="F18" s="14" t="s">
        <v>185</v>
      </c>
      <c r="G18" s="14" t="s">
        <v>186</v>
      </c>
      <c r="H18" s="14" t="s">
        <v>187</v>
      </c>
      <c r="I18" s="15"/>
      <c r="J18" s="15"/>
      <c r="K18" s="16" t="str">
        <f>IF(OR(Table2[[#This Row],[Completion Date]]="", Table2[[#This Row],[Page]]=""),"Pending", "Completed")</f>
        <v>Pending</v>
      </c>
      <c r="L18" s="14" t="str">
        <f t="array" ref="L18">IF(ISBLANK(Table2[[#This Row],[Module]]),"data!$I$3:$I" &amp; COUNTA(data!$I:$I), "data!$P" &amp; MATCH(Table2[[#This Row],[Module]], data!$O:$O,0)&amp;":$P"&amp;MAX(IF(data!$O:$O=Table2[[#This Row],[Module]], ROW(data!$O:$O))))</f>
        <v>data!$I$3:$I13</v>
      </c>
      <c r="M18" s="14" t="str">
        <f t="array" ref="M18">IF(ISBLANK(Table2[[#This Row],[Sub-Module]]),"data!$K$3:$K" &amp; COUNTA(data!$K:$K), "data!$S" &amp; MATCH(Table2[[#This Row],[Sub-Module]], data!$R:$R,0)&amp;":$S"&amp;MAX(IF(data!$R:$R=Table2[[#This Row],[Sub-Module]], ROW(data!$R:$R))))</f>
        <v>data!$K$3:$K25</v>
      </c>
    </row>
    <row r="19" spans="1:13" ht="90.6" thickBot="1" x14ac:dyDescent="0.35">
      <c r="A19" s="13" t="str">
        <f t="shared" si="0"/>
        <v/>
      </c>
      <c r="B19" s="12"/>
      <c r="C19" s="13"/>
      <c r="D19" s="13"/>
      <c r="E19" s="13" t="s">
        <v>181</v>
      </c>
      <c r="F19" s="14" t="s">
        <v>188</v>
      </c>
      <c r="G19" s="14" t="s">
        <v>189</v>
      </c>
      <c r="H19" s="14" t="s">
        <v>190</v>
      </c>
      <c r="I19" s="15"/>
      <c r="J19" s="15"/>
      <c r="K19" s="16" t="str">
        <f>IF(OR(Table2[[#This Row],[Completion Date]]="", Table2[[#This Row],[Page]]=""),"Pending", "Completed")</f>
        <v>Pending</v>
      </c>
      <c r="L19" s="14" t="str">
        <f t="array" ref="L19">IF(ISBLANK(Table2[[#This Row],[Module]]),"data!$I$3:$I" &amp; COUNTA(data!$I:$I), "data!$P" &amp; MATCH(Table2[[#This Row],[Module]], data!$O:$O,0)&amp;":$P"&amp;MAX(IF(data!$O:$O=Table2[[#This Row],[Module]], ROW(data!$O:$O))))</f>
        <v>data!$I$3:$I13</v>
      </c>
      <c r="M19" s="14" t="str">
        <f t="array" ref="M19">IF(ISBLANK(Table2[[#This Row],[Sub-Module]]),"data!$K$3:$K" &amp; COUNTA(data!$K:$K), "data!$S" &amp; MATCH(Table2[[#This Row],[Sub-Module]], data!$R:$R,0)&amp;":$S"&amp;MAX(IF(data!$R:$R=Table2[[#This Row],[Sub-Module]], ROW(data!$R:$R))))</f>
        <v>data!$K$3:$K25</v>
      </c>
    </row>
    <row r="20" spans="1:13" ht="90.6" thickBot="1" x14ac:dyDescent="0.35">
      <c r="A20" s="13" t="str">
        <f t="shared" si="0"/>
        <v/>
      </c>
      <c r="B20" s="12"/>
      <c r="C20" s="13"/>
      <c r="D20" s="13"/>
      <c r="E20" s="13" t="s">
        <v>191</v>
      </c>
      <c r="F20" s="14" t="s">
        <v>192</v>
      </c>
      <c r="G20" s="14" t="s">
        <v>193</v>
      </c>
      <c r="H20" s="14" t="s">
        <v>194</v>
      </c>
      <c r="I20" s="15"/>
      <c r="J20" s="15"/>
      <c r="K20" s="16" t="str">
        <f>IF(OR(Table2[[#This Row],[Completion Date]]="", Table2[[#This Row],[Page]]=""),"Pending", "Completed")</f>
        <v>Pending</v>
      </c>
      <c r="L20" s="14" t="str">
        <f t="array" ref="L20">IF(ISBLANK(Table2[[#This Row],[Module]]),"data!$I$3:$I" &amp; COUNTA(data!$I:$I), "data!$P" &amp; MATCH(Table2[[#This Row],[Module]], data!$O:$O,0)&amp;":$P"&amp;MAX(IF(data!$O:$O=Table2[[#This Row],[Module]], ROW(data!$O:$O))))</f>
        <v>data!$I$3:$I13</v>
      </c>
      <c r="M20" s="14" t="str">
        <f t="array" ref="M20">IF(ISBLANK(Table2[[#This Row],[Sub-Module]]),"data!$K$3:$K" &amp; COUNTA(data!$K:$K), "data!$S" &amp; MATCH(Table2[[#This Row],[Sub-Module]], data!$R:$R,0)&amp;":$S"&amp;MAX(IF(data!$R:$R=Table2[[#This Row],[Sub-Module]], ROW(data!$R:$R))))</f>
        <v>data!$K$3:$K25</v>
      </c>
    </row>
    <row r="21" spans="1:13" ht="144.6" thickBot="1" x14ac:dyDescent="0.35">
      <c r="A21" s="13" t="str">
        <f t="shared" si="0"/>
        <v/>
      </c>
      <c r="B21" s="12"/>
      <c r="C21" s="13"/>
      <c r="D21" s="13"/>
      <c r="E21" s="18" t="s">
        <v>191</v>
      </c>
      <c r="F21" s="19" t="s">
        <v>195</v>
      </c>
      <c r="G21" s="19" t="s">
        <v>196</v>
      </c>
      <c r="H21" s="19" t="s">
        <v>197</v>
      </c>
      <c r="I21" s="25"/>
      <c r="J21" s="25"/>
      <c r="K21" s="16" t="str">
        <f>IF(OR(Table2[[#This Row],[Completion Date]]="", Table2[[#This Row],[Page]]=""),"Pending", "Completed")</f>
        <v>Pending</v>
      </c>
      <c r="L21" s="19" t="str">
        <f t="array" ref="L21">IF(ISBLANK(Table2[[#This Row],[Module]]),"data!$I$3:$I" &amp; COUNTA(data!$I:$I), "data!$P" &amp; MATCH(Table2[[#This Row],[Module]], data!$O:$O,0)&amp;":$P"&amp;MAX(IF(data!$O:$O=Table2[[#This Row],[Module]], ROW(data!$O:$O))))</f>
        <v>data!$I$3:$I13</v>
      </c>
      <c r="M21" s="19" t="str">
        <f t="array" ref="M21">IF(ISBLANK(Table2[[#This Row],[Sub-Module]]),"data!$K$3:$K" &amp; COUNTA(data!$K:$K), "data!$S" &amp; MATCH(Table2[[#This Row],[Sub-Module]], data!$R:$R,0)&amp;":$S"&amp;MAX(IF(data!$R:$R=Table2[[#This Row],[Sub-Module]], ROW(data!$R:$R))))</f>
        <v>data!$K$3:$K25</v>
      </c>
    </row>
  </sheetData>
  <dataValidations count="2">
    <dataValidation type="list" allowBlank="1" showInputMessage="1" showErrorMessage="1" sqref="C2:C21">
      <formula1>INDIRECT($L$2)</formula1>
    </dataValidation>
    <dataValidation type="list" allowBlank="1" showInputMessage="1" showErrorMessage="1" sqref="D2:D21">
      <formula1>INDIRECT($M$2)</formula1>
    </dataValidation>
  </dataValidation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INDIRECT("data!$G$2:$G"&amp;COUNTA(data!$G:$G))</xm:f>
          </x14:formula1>
          <xm:sqref>B2:B21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5"/>
  <sheetViews>
    <sheetView workbookViewId="0">
      <selection activeCell="M1" sqref="M1:Q1"/>
    </sheetView>
  </sheetViews>
  <sheetFormatPr defaultRowHeight="14.4" x14ac:dyDescent="0.3"/>
  <sheetData>
    <row r="1" spans="1:17" ht="42" thickBot="1" x14ac:dyDescent="0.35">
      <c r="A1" s="28" t="s">
        <v>207</v>
      </c>
      <c r="B1" s="28" t="s">
        <v>234</v>
      </c>
      <c r="C1" s="29" t="s">
        <v>239</v>
      </c>
      <c r="D1" s="28" t="s">
        <v>335</v>
      </c>
      <c r="E1" s="29" t="s">
        <v>336</v>
      </c>
      <c r="G1" s="28" t="s">
        <v>231</v>
      </c>
      <c r="H1" s="28" t="s">
        <v>289</v>
      </c>
      <c r="I1" s="28" t="s">
        <v>290</v>
      </c>
      <c r="J1" s="29" t="s">
        <v>132</v>
      </c>
      <c r="L1" s="28" t="s">
        <v>231</v>
      </c>
      <c r="M1" s="28" t="s">
        <v>310</v>
      </c>
      <c r="N1" s="28" t="s">
        <v>311</v>
      </c>
      <c r="O1" s="28" t="s">
        <v>312</v>
      </c>
      <c r="P1" s="28" t="s">
        <v>313</v>
      </c>
      <c r="Q1" s="29" t="s">
        <v>314</v>
      </c>
    </row>
    <row r="2" spans="1:17" ht="387" thickBot="1" x14ac:dyDescent="0.35">
      <c r="A2" s="30" t="s">
        <v>240</v>
      </c>
      <c r="B2" s="30" t="s">
        <v>241</v>
      </c>
      <c r="C2" s="31" t="s">
        <v>242</v>
      </c>
      <c r="D2" s="30" t="s">
        <v>291</v>
      </c>
      <c r="E2" s="31" t="s">
        <v>337</v>
      </c>
      <c r="G2" s="30" t="s">
        <v>291</v>
      </c>
      <c r="H2" s="30" t="s">
        <v>292</v>
      </c>
      <c r="I2" s="30" t="s">
        <v>293</v>
      </c>
      <c r="J2" s="31" t="s">
        <v>294</v>
      </c>
      <c r="L2" s="30" t="s">
        <v>215</v>
      </c>
      <c r="M2" s="30" t="s">
        <v>315</v>
      </c>
      <c r="N2" s="30" t="s">
        <v>316</v>
      </c>
      <c r="O2" s="30" t="s">
        <v>317</v>
      </c>
      <c r="P2" s="30" t="s">
        <v>318</v>
      </c>
      <c r="Q2" s="31" t="s">
        <v>319</v>
      </c>
    </row>
    <row r="3" spans="1:17" ht="387" thickBot="1" x14ac:dyDescent="0.35">
      <c r="A3" s="30"/>
      <c r="B3" s="30" t="s">
        <v>243</v>
      </c>
      <c r="C3" s="31" t="s">
        <v>244</v>
      </c>
      <c r="D3" s="30" t="s">
        <v>295</v>
      </c>
      <c r="E3" s="31" t="s">
        <v>338</v>
      </c>
      <c r="G3" s="30" t="s">
        <v>295</v>
      </c>
      <c r="H3" s="30" t="s">
        <v>292</v>
      </c>
      <c r="I3" s="30" t="s">
        <v>296</v>
      </c>
      <c r="J3" s="31" t="s">
        <v>294</v>
      </c>
      <c r="L3" s="30" t="s">
        <v>260</v>
      </c>
      <c r="M3" s="30" t="s">
        <v>320</v>
      </c>
      <c r="N3" s="30" t="s">
        <v>321</v>
      </c>
      <c r="O3" s="30" t="s">
        <v>322</v>
      </c>
      <c r="P3" s="30" t="s">
        <v>323</v>
      </c>
      <c r="Q3" s="31" t="s">
        <v>324</v>
      </c>
    </row>
    <row r="4" spans="1:17" ht="373.2" thickBot="1" x14ac:dyDescent="0.35">
      <c r="A4" s="30"/>
      <c r="B4" s="30" t="s">
        <v>245</v>
      </c>
      <c r="C4" s="31" t="s">
        <v>246</v>
      </c>
      <c r="D4" s="30" t="s">
        <v>339</v>
      </c>
      <c r="E4" s="31" t="s">
        <v>340</v>
      </c>
      <c r="G4" s="30" t="s">
        <v>297</v>
      </c>
      <c r="H4" s="30" t="s">
        <v>292</v>
      </c>
      <c r="I4" s="30" t="s">
        <v>298</v>
      </c>
      <c r="J4" s="31" t="s">
        <v>299</v>
      </c>
      <c r="L4" s="30" t="s">
        <v>305</v>
      </c>
      <c r="M4" s="30" t="s">
        <v>325</v>
      </c>
      <c r="N4" s="30" t="s">
        <v>326</v>
      </c>
      <c r="O4" s="30" t="s">
        <v>327</v>
      </c>
      <c r="P4" s="30" t="s">
        <v>328</v>
      </c>
      <c r="Q4" s="31" t="s">
        <v>329</v>
      </c>
    </row>
    <row r="5" spans="1:17" ht="373.2" thickBot="1" x14ac:dyDescent="0.35">
      <c r="A5" s="30" t="s">
        <v>247</v>
      </c>
      <c r="B5" s="30" t="s">
        <v>248</v>
      </c>
      <c r="C5" s="31" t="s">
        <v>249</v>
      </c>
      <c r="D5" s="30" t="s">
        <v>341</v>
      </c>
      <c r="E5" s="31" t="s">
        <v>342</v>
      </c>
      <c r="G5" s="30" t="s">
        <v>261</v>
      </c>
      <c r="H5" s="30" t="s">
        <v>292</v>
      </c>
      <c r="I5" s="30" t="s">
        <v>300</v>
      </c>
      <c r="J5" s="31" t="s">
        <v>301</v>
      </c>
      <c r="L5" s="30" t="s">
        <v>307</v>
      </c>
      <c r="M5" s="30" t="s">
        <v>330</v>
      </c>
      <c r="N5" s="30" t="s">
        <v>331</v>
      </c>
      <c r="O5" s="30" t="s">
        <v>332</v>
      </c>
      <c r="P5" s="30" t="s">
        <v>333</v>
      </c>
      <c r="Q5" s="31" t="s">
        <v>334</v>
      </c>
    </row>
    <row r="6" spans="1:17" ht="409.6" thickBot="1" x14ac:dyDescent="0.35">
      <c r="A6" s="30"/>
      <c r="B6" s="30" t="s">
        <v>250</v>
      </c>
      <c r="C6" s="31" t="s">
        <v>251</v>
      </c>
      <c r="D6" s="30" t="s">
        <v>343</v>
      </c>
      <c r="E6" s="31" t="s">
        <v>344</v>
      </c>
      <c r="G6" s="30" t="s">
        <v>268</v>
      </c>
      <c r="H6" s="30" t="s">
        <v>292</v>
      </c>
      <c r="I6" s="30" t="s">
        <v>302</v>
      </c>
      <c r="J6" s="31" t="s">
        <v>299</v>
      </c>
    </row>
    <row r="7" spans="1:17" ht="180" thickBot="1" x14ac:dyDescent="0.35">
      <c r="A7" s="30"/>
      <c r="B7" s="30" t="s">
        <v>252</v>
      </c>
      <c r="C7" s="31" t="s">
        <v>253</v>
      </c>
      <c r="D7" s="30" t="s">
        <v>345</v>
      </c>
      <c r="E7" s="31" t="s">
        <v>346</v>
      </c>
      <c r="G7" s="28" t="s">
        <v>231</v>
      </c>
      <c r="H7" s="28" t="s">
        <v>289</v>
      </c>
      <c r="I7" s="28" t="s">
        <v>290</v>
      </c>
      <c r="J7" s="29" t="s">
        <v>132</v>
      </c>
    </row>
    <row r="8" spans="1:17" ht="409.6" thickBot="1" x14ac:dyDescent="0.35">
      <c r="A8" s="30" t="s">
        <v>215</v>
      </c>
      <c r="B8" s="30" t="s">
        <v>254</v>
      </c>
      <c r="C8" s="31" t="s">
        <v>255</v>
      </c>
      <c r="D8" s="30" t="s">
        <v>347</v>
      </c>
      <c r="E8" s="31" t="s">
        <v>348</v>
      </c>
      <c r="G8" s="30" t="s">
        <v>215</v>
      </c>
      <c r="H8" s="30" t="s">
        <v>292</v>
      </c>
      <c r="I8" s="30" t="s">
        <v>303</v>
      </c>
      <c r="J8" s="31" t="s">
        <v>299</v>
      </c>
    </row>
    <row r="9" spans="1:17" ht="409.6" thickBot="1" x14ac:dyDescent="0.35">
      <c r="A9" s="30"/>
      <c r="B9" s="30" t="s">
        <v>256</v>
      </c>
      <c r="C9" s="31" t="s">
        <v>257</v>
      </c>
      <c r="D9" s="30" t="s">
        <v>349</v>
      </c>
      <c r="E9" s="31" t="s">
        <v>350</v>
      </c>
      <c r="G9" s="30" t="s">
        <v>260</v>
      </c>
      <c r="H9" s="30" t="s">
        <v>292</v>
      </c>
      <c r="I9" s="30" t="s">
        <v>304</v>
      </c>
      <c r="J9" s="31" t="s">
        <v>301</v>
      </c>
    </row>
    <row r="10" spans="1:17" ht="409.6" thickBot="1" x14ac:dyDescent="0.35">
      <c r="A10" s="30"/>
      <c r="B10" s="30" t="s">
        <v>258</v>
      </c>
      <c r="C10" s="31" t="s">
        <v>259</v>
      </c>
      <c r="D10" s="30" t="s">
        <v>351</v>
      </c>
      <c r="E10" s="31" t="s">
        <v>352</v>
      </c>
      <c r="G10" s="30" t="s">
        <v>305</v>
      </c>
      <c r="H10" s="30" t="s">
        <v>292</v>
      </c>
      <c r="I10" s="30" t="s">
        <v>306</v>
      </c>
      <c r="J10" s="31" t="s">
        <v>299</v>
      </c>
    </row>
    <row r="11" spans="1:17" ht="409.6" thickBot="1" x14ac:dyDescent="0.35">
      <c r="A11" s="30" t="s">
        <v>260</v>
      </c>
      <c r="B11" s="30" t="s">
        <v>261</v>
      </c>
      <c r="C11" s="31" t="s">
        <v>262</v>
      </c>
      <c r="D11" s="30" t="s">
        <v>353</v>
      </c>
      <c r="E11" s="31" t="s">
        <v>354</v>
      </c>
      <c r="G11" s="30" t="s">
        <v>307</v>
      </c>
      <c r="H11" s="30" t="s">
        <v>292</v>
      </c>
      <c r="I11" s="30" t="s">
        <v>308</v>
      </c>
      <c r="J11" s="31" t="s">
        <v>309</v>
      </c>
    </row>
    <row r="12" spans="1:17" ht="152.4" thickBot="1" x14ac:dyDescent="0.35">
      <c r="A12" s="30"/>
      <c r="B12" s="30" t="s">
        <v>263</v>
      </c>
      <c r="C12" s="31" t="s">
        <v>264</v>
      </c>
      <c r="D12" s="30" t="s">
        <v>355</v>
      </c>
      <c r="E12" s="31" t="s">
        <v>356</v>
      </c>
    </row>
    <row r="13" spans="1:17" ht="193.8" thickBot="1" x14ac:dyDescent="0.35">
      <c r="A13" s="30"/>
      <c r="B13" s="30" t="s">
        <v>265</v>
      </c>
      <c r="C13" s="31" t="s">
        <v>266</v>
      </c>
      <c r="D13" s="30" t="s">
        <v>357</v>
      </c>
      <c r="E13" s="31" t="s">
        <v>358</v>
      </c>
    </row>
    <row r="14" spans="1:17" ht="152.4" thickBot="1" x14ac:dyDescent="0.35">
      <c r="A14" s="30" t="s">
        <v>267</v>
      </c>
      <c r="B14" s="30" t="s">
        <v>268</v>
      </c>
      <c r="C14" s="31" t="s">
        <v>269</v>
      </c>
      <c r="D14" s="30" t="s">
        <v>359</v>
      </c>
      <c r="E14" s="31" t="s">
        <v>360</v>
      </c>
    </row>
    <row r="15" spans="1:17" ht="235.2" thickBot="1" x14ac:dyDescent="0.35">
      <c r="A15" s="30"/>
      <c r="B15" s="30" t="s">
        <v>270</v>
      </c>
      <c r="C15" s="31" t="s">
        <v>271</v>
      </c>
      <c r="D15" s="30" t="s">
        <v>361</v>
      </c>
      <c r="E15" s="31" t="s">
        <v>362</v>
      </c>
    </row>
    <row r="16" spans="1:17" ht="276.60000000000002" thickBot="1" x14ac:dyDescent="0.35">
      <c r="A16" s="30"/>
      <c r="B16" s="30" t="s">
        <v>272</v>
      </c>
      <c r="C16" s="31" t="s">
        <v>273</v>
      </c>
      <c r="D16" s="30" t="s">
        <v>363</v>
      </c>
      <c r="E16" s="31" t="s">
        <v>364</v>
      </c>
    </row>
    <row r="17" spans="1:5" ht="221.4" thickBot="1" x14ac:dyDescent="0.35">
      <c r="A17" s="30" t="s">
        <v>274</v>
      </c>
      <c r="B17" s="30" t="s">
        <v>275</v>
      </c>
      <c r="C17" s="31" t="s">
        <v>276</v>
      </c>
      <c r="D17" s="30" t="s">
        <v>365</v>
      </c>
      <c r="E17" s="31" t="s">
        <v>366</v>
      </c>
    </row>
    <row r="18" spans="1:5" ht="221.4" thickBot="1" x14ac:dyDescent="0.35">
      <c r="A18" s="30"/>
      <c r="B18" s="30" t="s">
        <v>277</v>
      </c>
      <c r="C18" s="31" t="s">
        <v>278</v>
      </c>
      <c r="D18" s="30" t="s">
        <v>367</v>
      </c>
      <c r="E18" s="31" t="s">
        <v>368</v>
      </c>
    </row>
    <row r="19" spans="1:5" ht="193.8" thickBot="1" x14ac:dyDescent="0.35">
      <c r="A19" s="30" t="s">
        <v>279</v>
      </c>
      <c r="B19" s="30" t="s">
        <v>280</v>
      </c>
      <c r="C19" s="31" t="s">
        <v>281</v>
      </c>
      <c r="D19" s="30" t="s">
        <v>369</v>
      </c>
      <c r="E19" s="31" t="s">
        <v>370</v>
      </c>
    </row>
    <row r="20" spans="1:5" ht="235.2" thickBot="1" x14ac:dyDescent="0.35">
      <c r="A20" s="30"/>
      <c r="B20" s="30" t="s">
        <v>282</v>
      </c>
      <c r="C20" s="31" t="s">
        <v>283</v>
      </c>
      <c r="D20" s="30" t="s">
        <v>371</v>
      </c>
      <c r="E20" s="31" t="s">
        <v>372</v>
      </c>
    </row>
    <row r="21" spans="1:5" ht="193.8" thickBot="1" x14ac:dyDescent="0.35">
      <c r="A21" s="30" t="s">
        <v>284</v>
      </c>
      <c r="B21" s="30" t="s">
        <v>285</v>
      </c>
      <c r="C21" s="31" t="s">
        <v>286</v>
      </c>
      <c r="D21" s="30" t="s">
        <v>373</v>
      </c>
      <c r="E21" s="31" t="s">
        <v>374</v>
      </c>
    </row>
    <row r="22" spans="1:5" ht="207.6" thickBot="1" x14ac:dyDescent="0.35">
      <c r="A22" s="30"/>
      <c r="B22" s="30" t="s">
        <v>287</v>
      </c>
      <c r="C22" s="31" t="s">
        <v>288</v>
      </c>
      <c r="D22" s="30" t="s">
        <v>375</v>
      </c>
      <c r="E22" s="31" t="s">
        <v>376</v>
      </c>
    </row>
    <row r="23" spans="1:5" ht="42" thickBot="1" x14ac:dyDescent="0.35">
      <c r="D23" s="30" t="s">
        <v>377</v>
      </c>
      <c r="E23" s="31" t="s">
        <v>378</v>
      </c>
    </row>
    <row r="24" spans="1:5" ht="42" thickBot="1" x14ac:dyDescent="0.35">
      <c r="D24" s="30" t="s">
        <v>379</v>
      </c>
      <c r="E24" s="31" t="s">
        <v>380</v>
      </c>
    </row>
    <row r="25" spans="1:5" ht="42" thickBot="1" x14ac:dyDescent="0.35">
      <c r="D25" s="30" t="s">
        <v>381</v>
      </c>
      <c r="E25" s="31" t="s">
        <v>382</v>
      </c>
    </row>
    <row r="26" spans="1:5" ht="97.2" thickBot="1" x14ac:dyDescent="0.35">
      <c r="D26" s="30" t="s">
        <v>383</v>
      </c>
      <c r="E26" s="31" t="s">
        <v>384</v>
      </c>
    </row>
    <row r="27" spans="1:5" ht="42" thickBot="1" x14ac:dyDescent="0.35">
      <c r="D27" s="30" t="s">
        <v>385</v>
      </c>
      <c r="E27" s="31" t="s">
        <v>386</v>
      </c>
    </row>
    <row r="28" spans="1:5" ht="42" thickBot="1" x14ac:dyDescent="0.35">
      <c r="D28" s="30" t="s">
        <v>387</v>
      </c>
      <c r="E28" s="31" t="s">
        <v>388</v>
      </c>
    </row>
    <row r="29" spans="1:5" ht="42" thickBot="1" x14ac:dyDescent="0.35">
      <c r="D29" s="30" t="s">
        <v>389</v>
      </c>
      <c r="E29" s="31" t="s">
        <v>390</v>
      </c>
    </row>
    <row r="30" spans="1:5" ht="42" thickBot="1" x14ac:dyDescent="0.35">
      <c r="D30" s="30" t="s">
        <v>99</v>
      </c>
      <c r="E30" s="31" t="s">
        <v>391</v>
      </c>
    </row>
    <row r="31" spans="1:5" ht="55.8" thickBot="1" x14ac:dyDescent="0.35">
      <c r="D31" s="30" t="s">
        <v>392</v>
      </c>
      <c r="E31" s="31" t="s">
        <v>393</v>
      </c>
    </row>
    <row r="32" spans="1:5" ht="55.8" thickBot="1" x14ac:dyDescent="0.35">
      <c r="D32" s="30" t="s">
        <v>394</v>
      </c>
      <c r="E32" s="31" t="s">
        <v>395</v>
      </c>
    </row>
    <row r="33" spans="4:5" ht="55.8" thickBot="1" x14ac:dyDescent="0.35">
      <c r="D33" s="30" t="s">
        <v>396</v>
      </c>
      <c r="E33" s="31" t="s">
        <v>397</v>
      </c>
    </row>
    <row r="34" spans="4:5" ht="55.8" thickBot="1" x14ac:dyDescent="0.35">
      <c r="D34" s="30" t="s">
        <v>398</v>
      </c>
      <c r="E34" s="31" t="s">
        <v>399</v>
      </c>
    </row>
    <row r="35" spans="4:5" ht="55.8" thickBot="1" x14ac:dyDescent="0.35">
      <c r="D35" s="30" t="s">
        <v>400</v>
      </c>
      <c r="E35" s="31" t="s">
        <v>401</v>
      </c>
    </row>
    <row r="36" spans="4:5" ht="28.2" thickBot="1" x14ac:dyDescent="0.35">
      <c r="D36" s="30" t="s">
        <v>402</v>
      </c>
      <c r="E36" s="31" t="s">
        <v>403</v>
      </c>
    </row>
    <row r="37" spans="4:5" ht="55.8" thickBot="1" x14ac:dyDescent="0.35">
      <c r="D37" s="30" t="s">
        <v>404</v>
      </c>
      <c r="E37" s="31" t="s">
        <v>405</v>
      </c>
    </row>
    <row r="38" spans="4:5" ht="28.2" thickBot="1" x14ac:dyDescent="0.35">
      <c r="D38" s="30" t="s">
        <v>406</v>
      </c>
      <c r="E38" s="31" t="s">
        <v>407</v>
      </c>
    </row>
    <row r="39" spans="4:5" ht="28.2" thickBot="1" x14ac:dyDescent="0.35">
      <c r="D39" s="30" t="s">
        <v>408</v>
      </c>
      <c r="E39" s="31" t="s">
        <v>407</v>
      </c>
    </row>
    <row r="40" spans="4:5" ht="83.4" thickBot="1" x14ac:dyDescent="0.35">
      <c r="D40" s="30" t="s">
        <v>409</v>
      </c>
      <c r="E40" s="31" t="s">
        <v>410</v>
      </c>
    </row>
    <row r="41" spans="4:5" ht="55.8" thickBot="1" x14ac:dyDescent="0.35">
      <c r="D41" s="30" t="s">
        <v>411</v>
      </c>
      <c r="E41" s="31" t="s">
        <v>397</v>
      </c>
    </row>
    <row r="42" spans="4:5" ht="42" thickBot="1" x14ac:dyDescent="0.35">
      <c r="D42" s="30" t="s">
        <v>412</v>
      </c>
      <c r="E42" s="31" t="s">
        <v>413</v>
      </c>
    </row>
    <row r="43" spans="4:5" ht="42" thickBot="1" x14ac:dyDescent="0.35">
      <c r="D43" s="30" t="s">
        <v>414</v>
      </c>
      <c r="E43" s="31" t="s">
        <v>415</v>
      </c>
    </row>
    <row r="44" spans="4:5" ht="207.6" thickBot="1" x14ac:dyDescent="0.35">
      <c r="D44" s="30" t="s">
        <v>416</v>
      </c>
      <c r="E44" s="31" t="s">
        <v>417</v>
      </c>
    </row>
    <row r="45" spans="4:5" ht="124.8" thickBot="1" x14ac:dyDescent="0.35">
      <c r="D45" s="30" t="s">
        <v>418</v>
      </c>
      <c r="E45" s="31" t="s">
        <v>419</v>
      </c>
    </row>
    <row r="46" spans="4:5" ht="166.2" thickBot="1" x14ac:dyDescent="0.35">
      <c r="D46" s="30" t="s">
        <v>420</v>
      </c>
      <c r="E46" s="31" t="s">
        <v>421</v>
      </c>
    </row>
    <row r="47" spans="4:5" ht="124.8" thickBot="1" x14ac:dyDescent="0.35">
      <c r="D47" s="30" t="s">
        <v>422</v>
      </c>
      <c r="E47" s="31" t="s">
        <v>423</v>
      </c>
    </row>
    <row r="48" spans="4:5" ht="193.8" thickBot="1" x14ac:dyDescent="0.35">
      <c r="D48" s="30" t="s">
        <v>424</v>
      </c>
      <c r="E48" s="31" t="s">
        <v>425</v>
      </c>
    </row>
    <row r="49" spans="4:5" ht="235.2" thickBot="1" x14ac:dyDescent="0.35">
      <c r="D49" s="30" t="s">
        <v>426</v>
      </c>
      <c r="E49" s="31" t="s">
        <v>427</v>
      </c>
    </row>
    <row r="50" spans="4:5" ht="180" thickBot="1" x14ac:dyDescent="0.35">
      <c r="D50" s="30" t="s">
        <v>428</v>
      </c>
      <c r="E50" s="31" t="s">
        <v>429</v>
      </c>
    </row>
    <row r="51" spans="4:5" ht="180" thickBot="1" x14ac:dyDescent="0.35">
      <c r="D51" s="30" t="s">
        <v>430</v>
      </c>
      <c r="E51" s="31" t="s">
        <v>431</v>
      </c>
    </row>
    <row r="52" spans="4:5" ht="152.4" thickBot="1" x14ac:dyDescent="0.35">
      <c r="D52" s="30" t="s">
        <v>432</v>
      </c>
      <c r="E52" s="31" t="s">
        <v>433</v>
      </c>
    </row>
    <row r="53" spans="4:5" ht="180" thickBot="1" x14ac:dyDescent="0.35">
      <c r="D53" s="30" t="s">
        <v>434</v>
      </c>
      <c r="E53" s="31" t="s">
        <v>435</v>
      </c>
    </row>
    <row r="54" spans="4:5" ht="152.4" thickBot="1" x14ac:dyDescent="0.35">
      <c r="D54" s="30" t="s">
        <v>297</v>
      </c>
      <c r="E54" s="31" t="s">
        <v>436</v>
      </c>
    </row>
    <row r="55" spans="4:5" ht="166.2" thickBot="1" x14ac:dyDescent="0.35">
      <c r="D55" s="30" t="s">
        <v>437</v>
      </c>
      <c r="E55" s="31" t="s">
        <v>438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6"/>
  <sheetViews>
    <sheetView tabSelected="1" topLeftCell="A3" workbookViewId="0">
      <selection activeCell="H3" sqref="H3"/>
    </sheetView>
  </sheetViews>
  <sheetFormatPr defaultRowHeight="14.4" x14ac:dyDescent="0.3"/>
  <sheetData>
    <row r="1" spans="1:8" ht="28.2" thickBot="1" x14ac:dyDescent="0.35">
      <c r="A1" s="28" t="s">
        <v>439</v>
      </c>
      <c r="B1" s="28" t="s">
        <v>129</v>
      </c>
      <c r="C1" s="28" t="s">
        <v>440</v>
      </c>
      <c r="D1" s="28" t="s">
        <v>441</v>
      </c>
      <c r="E1" s="29" t="s">
        <v>442</v>
      </c>
      <c r="G1" s="28" t="s">
        <v>525</v>
      </c>
      <c r="H1" s="29" t="s">
        <v>1</v>
      </c>
    </row>
    <row r="2" spans="1:8" ht="409.6" thickBot="1" x14ac:dyDescent="0.35">
      <c r="A2" s="30" t="s">
        <v>443</v>
      </c>
      <c r="B2" s="30" t="s">
        <v>444</v>
      </c>
      <c r="C2" s="30" t="s">
        <v>445</v>
      </c>
      <c r="D2" s="30" t="s">
        <v>446</v>
      </c>
      <c r="E2" s="31" t="s">
        <v>447</v>
      </c>
      <c r="G2" s="30" t="s">
        <v>526</v>
      </c>
      <c r="H2" s="31" t="s">
        <v>540</v>
      </c>
    </row>
    <row r="3" spans="1:8" ht="152.4" thickBot="1" x14ac:dyDescent="0.35">
      <c r="A3" s="30"/>
      <c r="B3" s="30"/>
      <c r="C3" s="30" t="s">
        <v>448</v>
      </c>
      <c r="D3" s="30" t="s">
        <v>446</v>
      </c>
      <c r="E3" s="31" t="s">
        <v>449</v>
      </c>
      <c r="G3" s="30" t="s">
        <v>527</v>
      </c>
      <c r="H3" s="31" t="s">
        <v>528</v>
      </c>
    </row>
    <row r="4" spans="1:8" ht="193.8" thickBot="1" x14ac:dyDescent="0.35">
      <c r="A4" s="30"/>
      <c r="B4" s="30"/>
      <c r="C4" s="30" t="s">
        <v>450</v>
      </c>
      <c r="D4" s="30" t="s">
        <v>446</v>
      </c>
      <c r="E4" s="31" t="s">
        <v>447</v>
      </c>
      <c r="G4" s="30" t="s">
        <v>529</v>
      </c>
      <c r="H4" s="31" t="s">
        <v>530</v>
      </c>
    </row>
    <row r="5" spans="1:8" ht="166.2" thickBot="1" x14ac:dyDescent="0.35">
      <c r="A5" s="30"/>
      <c r="B5" s="30"/>
      <c r="C5" s="30" t="s">
        <v>451</v>
      </c>
      <c r="D5" s="30" t="s">
        <v>452</v>
      </c>
      <c r="E5" s="31" t="s">
        <v>453</v>
      </c>
      <c r="G5" s="30" t="s">
        <v>140</v>
      </c>
      <c r="H5" s="31" t="s">
        <v>531</v>
      </c>
    </row>
    <row r="6" spans="1:8" ht="166.2" thickBot="1" x14ac:dyDescent="0.35">
      <c r="A6" s="30" t="s">
        <v>454</v>
      </c>
      <c r="B6" s="30" t="s">
        <v>455</v>
      </c>
      <c r="C6" s="30" t="s">
        <v>456</v>
      </c>
      <c r="D6" s="30" t="s">
        <v>457</v>
      </c>
      <c r="E6" s="31" t="s">
        <v>458</v>
      </c>
      <c r="G6" s="30" t="s">
        <v>532</v>
      </c>
      <c r="H6" s="31" t="s">
        <v>533</v>
      </c>
    </row>
    <row r="7" spans="1:8" ht="180" thickBot="1" x14ac:dyDescent="0.35">
      <c r="A7" s="30"/>
      <c r="B7" s="30"/>
      <c r="C7" s="30" t="s">
        <v>459</v>
      </c>
      <c r="D7" s="30" t="s">
        <v>460</v>
      </c>
      <c r="E7" s="31" t="s">
        <v>461</v>
      </c>
      <c r="G7" s="30" t="s">
        <v>534</v>
      </c>
      <c r="H7" s="31" t="s">
        <v>535</v>
      </c>
    </row>
    <row r="8" spans="1:8" ht="166.2" thickBot="1" x14ac:dyDescent="0.35">
      <c r="A8" s="30"/>
      <c r="B8" s="30"/>
      <c r="C8" s="30" t="s">
        <v>462</v>
      </c>
      <c r="D8" s="30" t="s">
        <v>463</v>
      </c>
      <c r="E8" s="31" t="s">
        <v>458</v>
      </c>
      <c r="G8" s="30" t="s">
        <v>536</v>
      </c>
      <c r="H8" s="31" t="s">
        <v>537</v>
      </c>
    </row>
    <row r="9" spans="1:8" ht="193.8" thickBot="1" x14ac:dyDescent="0.35">
      <c r="A9" s="30"/>
      <c r="B9" s="30"/>
      <c r="C9" s="30" t="s">
        <v>464</v>
      </c>
      <c r="D9" s="30" t="s">
        <v>446</v>
      </c>
      <c r="E9" s="31" t="s">
        <v>465</v>
      </c>
      <c r="G9" s="30" t="s">
        <v>538</v>
      </c>
      <c r="H9" s="31" t="s">
        <v>539</v>
      </c>
    </row>
    <row r="10" spans="1:8" ht="69.599999999999994" thickBot="1" x14ac:dyDescent="0.35">
      <c r="A10" s="30" t="s">
        <v>466</v>
      </c>
      <c r="B10" s="30" t="s">
        <v>467</v>
      </c>
      <c r="C10" s="30" t="s">
        <v>468</v>
      </c>
      <c r="D10" s="30" t="s">
        <v>469</v>
      </c>
      <c r="E10" s="31" t="s">
        <v>447</v>
      </c>
    </row>
    <row r="11" spans="1:8" ht="69.599999999999994" thickBot="1" x14ac:dyDescent="0.35">
      <c r="A11" s="30"/>
      <c r="B11" s="30"/>
      <c r="C11" s="30" t="s">
        <v>470</v>
      </c>
      <c r="D11" s="30" t="s">
        <v>471</v>
      </c>
      <c r="E11" s="31" t="s">
        <v>447</v>
      </c>
    </row>
    <row r="12" spans="1:8" ht="55.8" thickBot="1" x14ac:dyDescent="0.35">
      <c r="A12" s="30"/>
      <c r="B12" s="30"/>
      <c r="C12" s="30" t="s">
        <v>472</v>
      </c>
      <c r="D12" s="30" t="s">
        <v>469</v>
      </c>
      <c r="E12" s="31" t="s">
        <v>458</v>
      </c>
    </row>
    <row r="13" spans="1:8" ht="83.4" thickBot="1" x14ac:dyDescent="0.35">
      <c r="A13" s="30" t="s">
        <v>473</v>
      </c>
      <c r="B13" s="30" t="s">
        <v>474</v>
      </c>
      <c r="C13" s="30" t="s">
        <v>475</v>
      </c>
      <c r="D13" s="30" t="s">
        <v>476</v>
      </c>
      <c r="E13" s="31" t="s">
        <v>461</v>
      </c>
    </row>
    <row r="14" spans="1:8" ht="55.8" thickBot="1" x14ac:dyDescent="0.35">
      <c r="A14" s="30"/>
      <c r="B14" s="30"/>
      <c r="C14" s="30" t="s">
        <v>477</v>
      </c>
      <c r="D14" s="30" t="s">
        <v>476</v>
      </c>
      <c r="E14" s="31" t="s">
        <v>461</v>
      </c>
    </row>
    <row r="15" spans="1:8" ht="83.4" thickBot="1" x14ac:dyDescent="0.35">
      <c r="A15" s="30"/>
      <c r="B15" s="30"/>
      <c r="C15" s="30" t="s">
        <v>478</v>
      </c>
      <c r="D15" s="30" t="s">
        <v>476</v>
      </c>
      <c r="E15" s="31" t="s">
        <v>461</v>
      </c>
    </row>
    <row r="16" spans="1:8" ht="69.599999999999994" thickBot="1" x14ac:dyDescent="0.35">
      <c r="A16" s="30" t="s">
        <v>479</v>
      </c>
      <c r="B16" s="30" t="s">
        <v>480</v>
      </c>
      <c r="C16" s="30" t="s">
        <v>481</v>
      </c>
      <c r="D16" s="30" t="s">
        <v>482</v>
      </c>
      <c r="E16" s="31" t="s">
        <v>447</v>
      </c>
    </row>
    <row r="17" spans="1:5" ht="69.599999999999994" thickBot="1" x14ac:dyDescent="0.35">
      <c r="A17" s="30"/>
      <c r="B17" s="30"/>
      <c r="C17" s="30" t="s">
        <v>483</v>
      </c>
      <c r="D17" s="30" t="s">
        <v>484</v>
      </c>
      <c r="E17" s="31" t="s">
        <v>485</v>
      </c>
    </row>
    <row r="18" spans="1:5" ht="55.8" thickBot="1" x14ac:dyDescent="0.35">
      <c r="A18" s="30"/>
      <c r="B18" s="30"/>
      <c r="C18" s="30" t="s">
        <v>486</v>
      </c>
      <c r="D18" s="30" t="s">
        <v>482</v>
      </c>
      <c r="E18" s="31" t="s">
        <v>461</v>
      </c>
    </row>
    <row r="19" spans="1:5" ht="55.8" thickBot="1" x14ac:dyDescent="0.35">
      <c r="A19" s="30"/>
      <c r="B19" s="30"/>
      <c r="C19" s="30" t="s">
        <v>487</v>
      </c>
      <c r="D19" s="30" t="s">
        <v>484</v>
      </c>
      <c r="E19" s="31" t="s">
        <v>461</v>
      </c>
    </row>
    <row r="20" spans="1:5" ht="55.8" thickBot="1" x14ac:dyDescent="0.35">
      <c r="A20" s="30" t="s">
        <v>488</v>
      </c>
      <c r="B20" s="30" t="s">
        <v>489</v>
      </c>
      <c r="C20" s="30" t="s">
        <v>490</v>
      </c>
      <c r="D20" s="30" t="s">
        <v>491</v>
      </c>
      <c r="E20" s="31" t="s">
        <v>461</v>
      </c>
    </row>
    <row r="21" spans="1:5" ht="55.8" thickBot="1" x14ac:dyDescent="0.35">
      <c r="A21" s="30"/>
      <c r="B21" s="30"/>
      <c r="C21" s="30" t="s">
        <v>492</v>
      </c>
      <c r="D21" s="30" t="s">
        <v>491</v>
      </c>
      <c r="E21" s="31" t="s">
        <v>461</v>
      </c>
    </row>
    <row r="22" spans="1:5" ht="83.4" thickBot="1" x14ac:dyDescent="0.35">
      <c r="A22" s="30"/>
      <c r="B22" s="30"/>
      <c r="C22" s="30" t="s">
        <v>493</v>
      </c>
      <c r="D22" s="30" t="s">
        <v>494</v>
      </c>
      <c r="E22" s="31" t="s">
        <v>453</v>
      </c>
    </row>
    <row r="23" spans="1:5" ht="69.599999999999994" thickBot="1" x14ac:dyDescent="0.35">
      <c r="A23" s="30" t="s">
        <v>495</v>
      </c>
      <c r="B23" s="30" t="s">
        <v>496</v>
      </c>
      <c r="C23" s="30" t="s">
        <v>497</v>
      </c>
      <c r="D23" s="30" t="s">
        <v>471</v>
      </c>
      <c r="E23" s="31" t="s">
        <v>458</v>
      </c>
    </row>
    <row r="24" spans="1:5" ht="69.599999999999994" thickBot="1" x14ac:dyDescent="0.35">
      <c r="A24" s="30"/>
      <c r="B24" s="30"/>
      <c r="C24" s="30" t="s">
        <v>498</v>
      </c>
      <c r="D24" s="30" t="s">
        <v>499</v>
      </c>
      <c r="E24" s="31" t="s">
        <v>447</v>
      </c>
    </row>
    <row r="25" spans="1:5" ht="69.599999999999994" thickBot="1" x14ac:dyDescent="0.35">
      <c r="A25" s="30"/>
      <c r="B25" s="30"/>
      <c r="C25" s="30" t="s">
        <v>500</v>
      </c>
      <c r="D25" s="30" t="s">
        <v>501</v>
      </c>
      <c r="E25" s="31" t="s">
        <v>447</v>
      </c>
    </row>
    <row r="26" spans="1:5" ht="83.4" thickBot="1" x14ac:dyDescent="0.35">
      <c r="A26" s="30"/>
      <c r="B26" s="30"/>
      <c r="C26" s="30" t="s">
        <v>502</v>
      </c>
      <c r="D26" s="30" t="s">
        <v>503</v>
      </c>
      <c r="E26" s="31" t="s">
        <v>453</v>
      </c>
    </row>
    <row r="27" spans="1:5" ht="69.599999999999994" thickBot="1" x14ac:dyDescent="0.35">
      <c r="A27" s="30" t="s">
        <v>504</v>
      </c>
      <c r="B27" s="30" t="s">
        <v>505</v>
      </c>
      <c r="C27" s="30" t="s">
        <v>506</v>
      </c>
      <c r="D27" s="30" t="s">
        <v>471</v>
      </c>
      <c r="E27" s="31" t="s">
        <v>461</v>
      </c>
    </row>
    <row r="28" spans="1:5" ht="69.599999999999994" thickBot="1" x14ac:dyDescent="0.35">
      <c r="A28" s="30"/>
      <c r="B28" s="30"/>
      <c r="C28" s="30" t="s">
        <v>507</v>
      </c>
      <c r="D28" s="30" t="s">
        <v>471</v>
      </c>
      <c r="E28" s="31" t="s">
        <v>458</v>
      </c>
    </row>
    <row r="29" spans="1:5" ht="83.4" thickBot="1" x14ac:dyDescent="0.35">
      <c r="A29" s="30" t="s">
        <v>508</v>
      </c>
      <c r="B29" s="30" t="s">
        <v>509</v>
      </c>
      <c r="C29" s="30" t="s">
        <v>510</v>
      </c>
      <c r="D29" s="30" t="s">
        <v>511</v>
      </c>
      <c r="E29" s="31" t="s">
        <v>453</v>
      </c>
    </row>
    <row r="30" spans="1:5" ht="55.8" thickBot="1" x14ac:dyDescent="0.35">
      <c r="A30" s="30"/>
      <c r="B30" s="30"/>
      <c r="C30" s="30" t="s">
        <v>512</v>
      </c>
      <c r="D30" s="30" t="s">
        <v>511</v>
      </c>
      <c r="E30" s="31" t="s">
        <v>513</v>
      </c>
    </row>
    <row r="31" spans="1:5" ht="69.599999999999994" thickBot="1" x14ac:dyDescent="0.35">
      <c r="A31" s="30"/>
      <c r="B31" s="30"/>
      <c r="C31" s="30" t="s">
        <v>514</v>
      </c>
      <c r="D31" s="30" t="s">
        <v>460</v>
      </c>
      <c r="E31" s="31" t="s">
        <v>453</v>
      </c>
    </row>
    <row r="32" spans="1:5" ht="69.599999999999994" thickBot="1" x14ac:dyDescent="0.35">
      <c r="A32" s="30"/>
      <c r="B32" s="30"/>
      <c r="C32" s="30" t="s">
        <v>515</v>
      </c>
      <c r="D32" s="30" t="s">
        <v>446</v>
      </c>
      <c r="E32" s="31" t="s">
        <v>453</v>
      </c>
    </row>
    <row r="33" spans="1:5" ht="69.599999999999994" thickBot="1" x14ac:dyDescent="0.35">
      <c r="A33" s="30" t="s">
        <v>516</v>
      </c>
      <c r="B33" s="30" t="s">
        <v>517</v>
      </c>
      <c r="C33" s="30" t="s">
        <v>518</v>
      </c>
      <c r="D33" s="30" t="s">
        <v>519</v>
      </c>
      <c r="E33" s="31" t="s">
        <v>461</v>
      </c>
    </row>
    <row r="34" spans="1:5" ht="69.599999999999994" thickBot="1" x14ac:dyDescent="0.35">
      <c r="A34" s="30"/>
      <c r="B34" s="30"/>
      <c r="C34" s="30" t="s">
        <v>520</v>
      </c>
      <c r="D34" s="30" t="s">
        <v>521</v>
      </c>
      <c r="E34" s="31" t="s">
        <v>461</v>
      </c>
    </row>
    <row r="35" spans="1:5" ht="55.8" thickBot="1" x14ac:dyDescent="0.35">
      <c r="A35" s="30"/>
      <c r="B35" s="30"/>
      <c r="C35" s="30" t="s">
        <v>522</v>
      </c>
      <c r="D35" s="30" t="s">
        <v>446</v>
      </c>
      <c r="E35" s="31" t="s">
        <v>453</v>
      </c>
    </row>
    <row r="36" spans="1:5" ht="83.4" thickBot="1" x14ac:dyDescent="0.35">
      <c r="A36" s="30"/>
      <c r="B36" s="30"/>
      <c r="C36" s="30" t="s">
        <v>523</v>
      </c>
      <c r="D36" s="30" t="s">
        <v>524</v>
      </c>
      <c r="E36" s="31" t="s">
        <v>453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2"/>
  <sheetViews>
    <sheetView workbookViewId="0">
      <selection activeCell="A3" sqref="A3:E3"/>
    </sheetView>
  </sheetViews>
  <sheetFormatPr defaultRowHeight="14.4" x14ac:dyDescent="0.3"/>
  <cols>
    <col min="1" max="1" width="14.33203125" customWidth="1"/>
    <col min="2" max="2" width="12.88671875" customWidth="1"/>
    <col min="3" max="3" width="13.109375" customWidth="1"/>
    <col min="4" max="4" width="12.21875" customWidth="1"/>
    <col min="5" max="5" width="23.21875" customWidth="1"/>
  </cols>
  <sheetData>
    <row r="1" spans="1:5" ht="15" thickBot="1" x14ac:dyDescent="0.35">
      <c r="A1" s="27" t="s">
        <v>41</v>
      </c>
      <c r="B1" s="27"/>
      <c r="C1" s="27"/>
      <c r="D1" s="27"/>
      <c r="E1" s="27"/>
    </row>
    <row r="2" spans="1:5" ht="15" thickBot="1" x14ac:dyDescent="0.35">
      <c r="A2" s="7" t="s">
        <v>0</v>
      </c>
      <c r="B2" s="8" t="s">
        <v>1</v>
      </c>
      <c r="C2" s="8" t="s">
        <v>2</v>
      </c>
      <c r="D2" s="8" t="s">
        <v>3</v>
      </c>
      <c r="E2" s="8" t="s">
        <v>4</v>
      </c>
    </row>
    <row r="3" spans="1:5" ht="124.8" thickBot="1" x14ac:dyDescent="0.35">
      <c r="A3" s="6" t="s">
        <v>5</v>
      </c>
      <c r="B3" s="3" t="s">
        <v>6</v>
      </c>
      <c r="C3" s="3" t="s">
        <v>7</v>
      </c>
      <c r="D3" s="3" t="s">
        <v>8</v>
      </c>
      <c r="E3" s="3" t="s">
        <v>9</v>
      </c>
    </row>
    <row r="4" spans="1:5" ht="276.60000000000002" customHeight="1" thickBot="1" x14ac:dyDescent="0.35">
      <c r="A4" s="6" t="s">
        <v>10</v>
      </c>
      <c r="B4" s="3" t="s">
        <v>11</v>
      </c>
      <c r="C4" s="3" t="s">
        <v>12</v>
      </c>
      <c r="D4" s="3" t="s">
        <v>13</v>
      </c>
      <c r="E4" s="3" t="s">
        <v>14</v>
      </c>
    </row>
    <row r="5" spans="1:5" ht="276.60000000000002" customHeight="1" thickBot="1" x14ac:dyDescent="0.35">
      <c r="A5" s="6" t="s">
        <v>15</v>
      </c>
      <c r="B5" s="3" t="s">
        <v>16</v>
      </c>
      <c r="C5" s="3" t="s">
        <v>17</v>
      </c>
      <c r="D5" s="3" t="s">
        <v>18</v>
      </c>
      <c r="E5" s="3" t="s">
        <v>19</v>
      </c>
    </row>
    <row r="6" spans="1:5" ht="15" thickBot="1" x14ac:dyDescent="0.35">
      <c r="A6" s="6"/>
      <c r="B6" s="3"/>
      <c r="C6" s="3"/>
      <c r="D6" s="3"/>
      <c r="E6" s="3"/>
    </row>
    <row r="8" spans="1:5" ht="15.6" thickBot="1" x14ac:dyDescent="0.4">
      <c r="A8" s="5" t="s">
        <v>42</v>
      </c>
    </row>
    <row r="9" spans="1:5" ht="15" thickBot="1" x14ac:dyDescent="0.35">
      <c r="A9" s="1" t="s">
        <v>43</v>
      </c>
      <c r="B9" s="1" t="s">
        <v>1</v>
      </c>
      <c r="C9" s="1" t="s">
        <v>2</v>
      </c>
      <c r="D9" s="1" t="s">
        <v>3</v>
      </c>
      <c r="E9" s="2" t="s">
        <v>4</v>
      </c>
    </row>
    <row r="10" spans="1:5" ht="124.8" thickBot="1" x14ac:dyDescent="0.35">
      <c r="A10" s="3" t="s">
        <v>44</v>
      </c>
      <c r="B10" s="3" t="s">
        <v>45</v>
      </c>
      <c r="C10" s="3" t="s">
        <v>20</v>
      </c>
      <c r="D10" s="3" t="s">
        <v>46</v>
      </c>
      <c r="E10" s="4" t="s">
        <v>21</v>
      </c>
    </row>
    <row r="11" spans="1:5" ht="111" thickBot="1" x14ac:dyDescent="0.35">
      <c r="A11" s="3" t="s">
        <v>22</v>
      </c>
      <c r="B11" s="3" t="s">
        <v>47</v>
      </c>
      <c r="C11" s="3" t="s">
        <v>23</v>
      </c>
      <c r="D11" s="3" t="s">
        <v>46</v>
      </c>
      <c r="E11" s="4" t="s">
        <v>24</v>
      </c>
    </row>
    <row r="12" spans="1:5" ht="97.2" thickBot="1" x14ac:dyDescent="0.35">
      <c r="A12" s="3" t="s">
        <v>48</v>
      </c>
      <c r="B12" s="3" t="s">
        <v>49</v>
      </c>
      <c r="C12" s="3" t="s">
        <v>25</v>
      </c>
      <c r="D12" s="3" t="s">
        <v>46</v>
      </c>
      <c r="E12" s="4" t="s">
        <v>26</v>
      </c>
    </row>
  </sheetData>
  <mergeCells count="1">
    <mergeCell ref="A1:E1"/>
  </mergeCell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8"/>
  <sheetViews>
    <sheetView topLeftCell="A5" workbookViewId="0">
      <selection activeCell="G2" sqref="G2:K8"/>
    </sheetView>
  </sheetViews>
  <sheetFormatPr defaultRowHeight="14.4" x14ac:dyDescent="0.3"/>
  <sheetData>
    <row r="1" spans="1:11" ht="15.6" thickBot="1" x14ac:dyDescent="0.4">
      <c r="A1" s="5" t="s">
        <v>69</v>
      </c>
      <c r="G1" s="5" t="s">
        <v>70</v>
      </c>
    </row>
    <row r="2" spans="1:11" ht="55.8" thickBot="1" x14ac:dyDescent="0.35">
      <c r="A2" s="1" t="s">
        <v>43</v>
      </c>
      <c r="B2" s="1" t="s">
        <v>1</v>
      </c>
      <c r="C2" s="1" t="s">
        <v>2</v>
      </c>
      <c r="D2" s="1" t="s">
        <v>3</v>
      </c>
      <c r="E2" s="2" t="s">
        <v>4</v>
      </c>
      <c r="G2" s="1" t="s">
        <v>43</v>
      </c>
      <c r="H2" s="1" t="s">
        <v>1</v>
      </c>
      <c r="I2" s="1" t="s">
        <v>2</v>
      </c>
      <c r="J2" s="1" t="s">
        <v>3</v>
      </c>
      <c r="K2" s="2" t="s">
        <v>4</v>
      </c>
    </row>
    <row r="3" spans="1:11" ht="249" thickBot="1" x14ac:dyDescent="0.35">
      <c r="A3" s="3" t="s">
        <v>27</v>
      </c>
      <c r="B3" s="3" t="s">
        <v>50</v>
      </c>
      <c r="C3" s="3" t="s">
        <v>51</v>
      </c>
      <c r="D3" s="3" t="s">
        <v>46</v>
      </c>
      <c r="E3" s="4" t="s">
        <v>28</v>
      </c>
      <c r="G3" s="3" t="s">
        <v>33</v>
      </c>
      <c r="H3" s="3" t="s">
        <v>71</v>
      </c>
      <c r="I3" s="3" t="s">
        <v>72</v>
      </c>
      <c r="J3" s="3" t="s">
        <v>73</v>
      </c>
      <c r="K3" s="4" t="s">
        <v>74</v>
      </c>
    </row>
    <row r="4" spans="1:11" ht="304.2" thickBot="1" x14ac:dyDescent="0.35">
      <c r="A4" s="3" t="s">
        <v>29</v>
      </c>
      <c r="B4" s="3" t="s">
        <v>52</v>
      </c>
      <c r="C4" s="3" t="s">
        <v>53</v>
      </c>
      <c r="D4" s="3" t="s">
        <v>46</v>
      </c>
      <c r="E4" s="4" t="s">
        <v>30</v>
      </c>
      <c r="G4" s="3" t="s">
        <v>34</v>
      </c>
      <c r="H4" s="3" t="s">
        <v>75</v>
      </c>
      <c r="I4" s="3" t="s">
        <v>76</v>
      </c>
      <c r="J4" s="3" t="s">
        <v>46</v>
      </c>
      <c r="K4" s="4" t="s">
        <v>77</v>
      </c>
    </row>
    <row r="5" spans="1:11" ht="276.60000000000002" thickBot="1" x14ac:dyDescent="0.35">
      <c r="A5" s="3" t="s">
        <v>31</v>
      </c>
      <c r="B5" s="3" t="s">
        <v>54</v>
      </c>
      <c r="C5" s="3" t="s">
        <v>55</v>
      </c>
      <c r="D5" s="3" t="s">
        <v>46</v>
      </c>
      <c r="E5" s="4" t="s">
        <v>32</v>
      </c>
      <c r="G5" s="3" t="s">
        <v>35</v>
      </c>
      <c r="H5" s="3" t="s">
        <v>78</v>
      </c>
      <c r="I5" s="3" t="s">
        <v>79</v>
      </c>
      <c r="J5" s="3" t="s">
        <v>46</v>
      </c>
      <c r="K5" s="4" t="s">
        <v>80</v>
      </c>
    </row>
    <row r="6" spans="1:11" ht="262.8" thickBot="1" x14ac:dyDescent="0.35">
      <c r="A6" s="3" t="s">
        <v>56</v>
      </c>
      <c r="B6" s="3" t="s">
        <v>57</v>
      </c>
      <c r="C6" s="3" t="s">
        <v>58</v>
      </c>
      <c r="D6" s="3" t="s">
        <v>59</v>
      </c>
      <c r="E6" s="4" t="s">
        <v>60</v>
      </c>
      <c r="G6" s="3" t="s">
        <v>56</v>
      </c>
      <c r="H6" s="3" t="s">
        <v>57</v>
      </c>
      <c r="I6" s="3" t="s">
        <v>58</v>
      </c>
      <c r="J6" s="3" t="s">
        <v>59</v>
      </c>
      <c r="K6" s="4" t="s">
        <v>60</v>
      </c>
    </row>
    <row r="7" spans="1:11" ht="193.8" thickBot="1" x14ac:dyDescent="0.35">
      <c r="A7" s="3" t="s">
        <v>61</v>
      </c>
      <c r="B7" s="3" t="s">
        <v>62</v>
      </c>
      <c r="C7" s="3" t="s">
        <v>63</v>
      </c>
      <c r="D7" s="3" t="s">
        <v>46</v>
      </c>
      <c r="E7" s="4" t="s">
        <v>64</v>
      </c>
      <c r="G7" s="3" t="s">
        <v>61</v>
      </c>
      <c r="H7" s="3" t="s">
        <v>62</v>
      </c>
      <c r="I7" s="3" t="s">
        <v>63</v>
      </c>
      <c r="J7" s="3" t="s">
        <v>46</v>
      </c>
      <c r="K7" s="4" t="s">
        <v>64</v>
      </c>
    </row>
    <row r="8" spans="1:11" ht="318" thickBot="1" x14ac:dyDescent="0.35">
      <c r="A8" s="3" t="s">
        <v>65</v>
      </c>
      <c r="B8" s="3" t="s">
        <v>66</v>
      </c>
      <c r="C8" s="3" t="s">
        <v>67</v>
      </c>
      <c r="D8" s="3" t="s">
        <v>46</v>
      </c>
      <c r="E8" s="4" t="s">
        <v>68</v>
      </c>
      <c r="G8" s="3" t="s">
        <v>65</v>
      </c>
      <c r="H8" s="3" t="s">
        <v>66</v>
      </c>
      <c r="I8" s="3" t="s">
        <v>67</v>
      </c>
      <c r="J8" s="3" t="s">
        <v>46</v>
      </c>
      <c r="K8" s="4" t="s">
        <v>68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9"/>
  <sheetViews>
    <sheetView workbookViewId="0">
      <selection sqref="A1:E9"/>
    </sheetView>
  </sheetViews>
  <sheetFormatPr defaultRowHeight="14.4" x14ac:dyDescent="0.3"/>
  <sheetData>
    <row r="1" spans="1:5" ht="55.8" thickBot="1" x14ac:dyDescent="0.35">
      <c r="A1" s="1" t="s">
        <v>43</v>
      </c>
      <c r="B1" s="1" t="s">
        <v>1</v>
      </c>
      <c r="C1" s="1" t="s">
        <v>2</v>
      </c>
      <c r="D1" s="1" t="s">
        <v>3</v>
      </c>
      <c r="E1" s="2" t="s">
        <v>4</v>
      </c>
    </row>
    <row r="2" spans="1:5" ht="55.8" thickBot="1" x14ac:dyDescent="0.35">
      <c r="A2" s="3" t="s">
        <v>81</v>
      </c>
      <c r="B2" s="3"/>
      <c r="C2" s="3"/>
      <c r="D2" s="3"/>
      <c r="E2" s="4"/>
    </row>
    <row r="3" spans="1:5" ht="304.2" thickBot="1" x14ac:dyDescent="0.35">
      <c r="A3" s="3" t="s">
        <v>36</v>
      </c>
      <c r="B3" s="3" t="s">
        <v>82</v>
      </c>
      <c r="C3" s="3" t="s">
        <v>83</v>
      </c>
      <c r="D3" s="3" t="s">
        <v>46</v>
      </c>
      <c r="E3" s="4" t="s">
        <v>84</v>
      </c>
    </row>
    <row r="4" spans="1:5" ht="221.4" thickBot="1" x14ac:dyDescent="0.35">
      <c r="A4" s="3" t="s">
        <v>37</v>
      </c>
      <c r="B4" s="3" t="s">
        <v>85</v>
      </c>
      <c r="C4" s="3" t="s">
        <v>86</v>
      </c>
      <c r="D4" s="3" t="s">
        <v>46</v>
      </c>
      <c r="E4" s="4" t="s">
        <v>87</v>
      </c>
    </row>
    <row r="5" spans="1:5" ht="262.8" thickBot="1" x14ac:dyDescent="0.35">
      <c r="A5" s="3" t="s">
        <v>38</v>
      </c>
      <c r="B5" s="3" t="s">
        <v>88</v>
      </c>
      <c r="C5" s="3" t="s">
        <v>89</v>
      </c>
      <c r="D5" s="3" t="s">
        <v>46</v>
      </c>
      <c r="E5" s="4" t="s">
        <v>90</v>
      </c>
    </row>
    <row r="6" spans="1:5" ht="69.599999999999994" thickBot="1" x14ac:dyDescent="0.35">
      <c r="A6" s="3" t="s">
        <v>91</v>
      </c>
      <c r="B6" s="3"/>
      <c r="C6" s="3"/>
      <c r="D6" s="3"/>
      <c r="E6" s="4"/>
    </row>
    <row r="7" spans="1:5" ht="304.2" thickBot="1" x14ac:dyDescent="0.35">
      <c r="A7" s="3" t="s">
        <v>39</v>
      </c>
      <c r="B7" s="3" t="s">
        <v>92</v>
      </c>
      <c r="C7" s="3" t="s">
        <v>93</v>
      </c>
      <c r="D7" s="3" t="s">
        <v>94</v>
      </c>
      <c r="E7" s="4" t="s">
        <v>95</v>
      </c>
    </row>
    <row r="8" spans="1:5" ht="290.39999999999998" thickBot="1" x14ac:dyDescent="0.35">
      <c r="A8" s="3" t="s">
        <v>40</v>
      </c>
      <c r="B8" s="3" t="s">
        <v>96</v>
      </c>
      <c r="C8" s="3" t="s">
        <v>97</v>
      </c>
      <c r="D8" s="3" t="s">
        <v>46</v>
      </c>
      <c r="E8" s="4" t="s">
        <v>98</v>
      </c>
    </row>
    <row r="9" spans="1:5" ht="304.2" thickBot="1" x14ac:dyDescent="0.35">
      <c r="A9" s="3" t="s">
        <v>99</v>
      </c>
      <c r="B9" s="3" t="s">
        <v>100</v>
      </c>
      <c r="C9" s="3" t="s">
        <v>101</v>
      </c>
      <c r="D9" s="3" t="s">
        <v>94</v>
      </c>
      <c r="E9" s="4" t="s">
        <v>102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
  <sheetViews>
    <sheetView topLeftCell="A9" workbookViewId="0">
      <selection sqref="A1:E9"/>
    </sheetView>
  </sheetViews>
  <sheetFormatPr defaultRowHeight="14.4" x14ac:dyDescent="0.3"/>
  <sheetData>
    <row r="1" spans="1:5" ht="55.8" thickBot="1" x14ac:dyDescent="0.35">
      <c r="A1" s="1" t="s">
        <v>43</v>
      </c>
      <c r="B1" s="1" t="s">
        <v>1</v>
      </c>
      <c r="C1" s="1" t="s">
        <v>2</v>
      </c>
      <c r="D1" s="1" t="s">
        <v>3</v>
      </c>
      <c r="E1" s="2" t="s">
        <v>4</v>
      </c>
    </row>
    <row r="2" spans="1:5" ht="69.599999999999994" thickBot="1" x14ac:dyDescent="0.35">
      <c r="A2" s="3" t="s">
        <v>103</v>
      </c>
      <c r="B2" s="3"/>
      <c r="C2" s="3"/>
      <c r="D2" s="3"/>
      <c r="E2" s="4"/>
    </row>
    <row r="3" spans="1:5" ht="345.6" thickBot="1" x14ac:dyDescent="0.35">
      <c r="A3" s="3" t="s">
        <v>104</v>
      </c>
      <c r="B3" s="3" t="s">
        <v>105</v>
      </c>
      <c r="C3" s="3" t="s">
        <v>106</v>
      </c>
      <c r="D3" s="3" t="s">
        <v>94</v>
      </c>
      <c r="E3" s="4" t="s">
        <v>107</v>
      </c>
    </row>
    <row r="4" spans="1:5" ht="345.6" thickBot="1" x14ac:dyDescent="0.35">
      <c r="A4" s="3" t="s">
        <v>108</v>
      </c>
      <c r="B4" s="3" t="s">
        <v>109</v>
      </c>
      <c r="C4" s="3" t="s">
        <v>110</v>
      </c>
      <c r="D4" s="3" t="s">
        <v>94</v>
      </c>
      <c r="E4" s="4" t="s">
        <v>111</v>
      </c>
    </row>
    <row r="5" spans="1:5" ht="373.2" thickBot="1" x14ac:dyDescent="0.35">
      <c r="A5" s="3" t="s">
        <v>112</v>
      </c>
      <c r="B5" s="3" t="s">
        <v>113</v>
      </c>
      <c r="C5" s="3" t="s">
        <v>114</v>
      </c>
      <c r="D5" s="3" t="s">
        <v>94</v>
      </c>
      <c r="E5" s="4" t="s">
        <v>115</v>
      </c>
    </row>
    <row r="6" spans="1:5" ht="69.599999999999994" thickBot="1" x14ac:dyDescent="0.35">
      <c r="A6" s="3" t="s">
        <v>116</v>
      </c>
      <c r="B6" s="3"/>
      <c r="C6" s="3"/>
      <c r="D6" s="3"/>
      <c r="E6" s="4"/>
    </row>
    <row r="7" spans="1:5" ht="387" thickBot="1" x14ac:dyDescent="0.35">
      <c r="A7" s="3" t="s">
        <v>117</v>
      </c>
      <c r="B7" s="3" t="s">
        <v>118</v>
      </c>
      <c r="C7" s="3" t="s">
        <v>119</v>
      </c>
      <c r="D7" s="3" t="s">
        <v>46</v>
      </c>
      <c r="E7" s="4" t="s">
        <v>120</v>
      </c>
    </row>
    <row r="8" spans="1:5" ht="373.2" thickBot="1" x14ac:dyDescent="0.35">
      <c r="A8" s="3" t="s">
        <v>121</v>
      </c>
      <c r="B8" s="3" t="s">
        <v>122</v>
      </c>
      <c r="C8" s="3" t="s">
        <v>123</v>
      </c>
      <c r="D8" s="3" t="s">
        <v>46</v>
      </c>
      <c r="E8" s="4" t="s">
        <v>124</v>
      </c>
    </row>
    <row r="9" spans="1:5" ht="345.6" thickBot="1" x14ac:dyDescent="0.35">
      <c r="A9" s="3" t="s">
        <v>125</v>
      </c>
      <c r="B9" s="3" t="s">
        <v>126</v>
      </c>
      <c r="C9" s="3" t="s">
        <v>127</v>
      </c>
      <c r="D9" s="3" t="s">
        <v>46</v>
      </c>
      <c r="E9" s="4" t="s">
        <v>128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49"/>
  <sheetViews>
    <sheetView topLeftCell="F1" workbookViewId="0">
      <selection activeCell="U1" sqref="U1"/>
    </sheetView>
  </sheetViews>
  <sheetFormatPr defaultRowHeight="14.4" x14ac:dyDescent="0.3"/>
  <cols>
    <col min="1" max="1" width="13.6640625" customWidth="1"/>
    <col min="2" max="2" width="13.5546875" customWidth="1"/>
    <col min="3" max="3" width="13.109375" customWidth="1"/>
    <col min="4" max="4" width="11.21875" customWidth="1"/>
    <col min="7" max="7" width="29.88671875" bestFit="1" customWidth="1"/>
    <col min="9" max="9" width="32.21875" customWidth="1"/>
    <col min="11" max="11" width="24" customWidth="1"/>
    <col min="13" max="13" width="9.88671875" customWidth="1"/>
    <col min="15" max="15" width="36.44140625" bestFit="1" customWidth="1"/>
    <col min="16" max="16" width="32.21875" bestFit="1" customWidth="1"/>
    <col min="18" max="18" width="20.77734375" customWidth="1"/>
    <col min="19" max="21" width="24" bestFit="1" customWidth="1"/>
    <col min="22" max="22" width="9.88671875" customWidth="1"/>
    <col min="23" max="24" width="24" bestFit="1" customWidth="1"/>
  </cols>
  <sheetData>
    <row r="1" spans="1:19" x14ac:dyDescent="0.3">
      <c r="A1" t="s">
        <v>205</v>
      </c>
      <c r="B1" t="s">
        <v>206</v>
      </c>
      <c r="C1" t="s">
        <v>208</v>
      </c>
      <c r="D1" t="s">
        <v>209</v>
      </c>
      <c r="G1" s="10" t="s">
        <v>207</v>
      </c>
      <c r="I1" s="10" t="s">
        <v>237</v>
      </c>
      <c r="K1" s="10" t="s">
        <v>231</v>
      </c>
      <c r="M1" s="10" t="s">
        <v>133</v>
      </c>
      <c r="O1" s="10" t="s">
        <v>205</v>
      </c>
      <c r="P1" s="10" t="s">
        <v>206</v>
      </c>
      <c r="R1" s="10" t="s">
        <v>206</v>
      </c>
      <c r="S1" s="10" t="s">
        <v>208</v>
      </c>
    </row>
    <row r="2" spans="1:19" ht="42" thickBot="1" x14ac:dyDescent="0.35">
      <c r="A2" s="3" t="s">
        <v>198</v>
      </c>
      <c r="B2" s="3" t="s">
        <v>5</v>
      </c>
      <c r="C2" s="4" t="s">
        <v>210</v>
      </c>
      <c r="D2" s="9" t="s">
        <v>230</v>
      </c>
      <c r="G2" s="11" t="s">
        <v>199</v>
      </c>
      <c r="I2" s="11" t="s">
        <v>22</v>
      </c>
      <c r="K2" s="11" t="s">
        <v>223</v>
      </c>
      <c r="M2" s="11" t="s">
        <v>230</v>
      </c>
      <c r="O2" t="s">
        <v>69</v>
      </c>
      <c r="P2" t="s">
        <v>201</v>
      </c>
      <c r="R2" t="s">
        <v>22</v>
      </c>
      <c r="S2" t="s">
        <v>219</v>
      </c>
    </row>
    <row r="3" spans="1:19" ht="42" thickBot="1" x14ac:dyDescent="0.35">
      <c r="A3" s="3" t="s">
        <v>198</v>
      </c>
      <c r="B3" s="3" t="s">
        <v>5</v>
      </c>
      <c r="C3" s="4" t="s">
        <v>211</v>
      </c>
      <c r="D3" s="9" t="s">
        <v>230</v>
      </c>
      <c r="G3" s="11" t="s">
        <v>216</v>
      </c>
      <c r="I3" s="11" t="s">
        <v>5</v>
      </c>
      <c r="K3" s="11" t="s">
        <v>226</v>
      </c>
      <c r="M3" s="11" t="s">
        <v>161</v>
      </c>
      <c r="O3" t="s">
        <v>69</v>
      </c>
      <c r="P3" t="s">
        <v>200</v>
      </c>
      <c r="R3" t="s">
        <v>22</v>
      </c>
      <c r="S3" t="s">
        <v>220</v>
      </c>
    </row>
    <row r="4" spans="1:19" ht="42" thickBot="1" x14ac:dyDescent="0.35">
      <c r="A4" s="3" t="s">
        <v>198</v>
      </c>
      <c r="B4" s="3" t="s">
        <v>10</v>
      </c>
      <c r="C4" s="4" t="s">
        <v>212</v>
      </c>
      <c r="D4" s="9" t="s">
        <v>230</v>
      </c>
      <c r="G4" s="11" t="s">
        <v>198</v>
      </c>
      <c r="I4" s="11" t="s">
        <v>48</v>
      </c>
      <c r="K4" s="11" t="s">
        <v>214</v>
      </c>
      <c r="O4" t="s">
        <v>69</v>
      </c>
      <c r="P4" t="s">
        <v>35</v>
      </c>
      <c r="R4" t="s">
        <v>5</v>
      </c>
      <c r="S4" t="s">
        <v>210</v>
      </c>
    </row>
    <row r="5" spans="1:19" ht="42" thickBot="1" x14ac:dyDescent="0.35">
      <c r="A5" s="3" t="s">
        <v>198</v>
      </c>
      <c r="B5" s="3" t="s">
        <v>10</v>
      </c>
      <c r="C5" s="4" t="s">
        <v>213</v>
      </c>
      <c r="D5" s="9" t="s">
        <v>230</v>
      </c>
      <c r="G5" s="11" t="s">
        <v>69</v>
      </c>
      <c r="I5" s="11" t="s">
        <v>201</v>
      </c>
      <c r="K5" s="11" t="s">
        <v>229</v>
      </c>
      <c r="O5" t="s">
        <v>198</v>
      </c>
      <c r="P5" t="s">
        <v>5</v>
      </c>
      <c r="R5" t="s">
        <v>5</v>
      </c>
      <c r="S5" t="s">
        <v>211</v>
      </c>
    </row>
    <row r="6" spans="1:19" ht="42" thickBot="1" x14ac:dyDescent="0.35">
      <c r="A6" s="3" t="s">
        <v>198</v>
      </c>
      <c r="B6" s="3" t="s">
        <v>15</v>
      </c>
      <c r="C6" s="4" t="s">
        <v>214</v>
      </c>
      <c r="D6" s="9" t="s">
        <v>230</v>
      </c>
      <c r="I6" s="11" t="s">
        <v>200</v>
      </c>
      <c r="K6" s="11" t="s">
        <v>33</v>
      </c>
      <c r="O6" t="s">
        <v>198</v>
      </c>
      <c r="P6" t="s">
        <v>10</v>
      </c>
      <c r="R6" t="s">
        <v>48</v>
      </c>
      <c r="S6" t="s">
        <v>221</v>
      </c>
    </row>
    <row r="7" spans="1:19" ht="42" thickBot="1" x14ac:dyDescent="0.35">
      <c r="A7" s="3" t="s">
        <v>198</v>
      </c>
      <c r="B7" s="3" t="s">
        <v>15</v>
      </c>
      <c r="C7" s="4" t="s">
        <v>215</v>
      </c>
      <c r="D7" s="9" t="s">
        <v>230</v>
      </c>
      <c r="I7" s="11" t="s">
        <v>202</v>
      </c>
      <c r="K7" s="11" t="s">
        <v>221</v>
      </c>
      <c r="O7" t="s">
        <v>198</v>
      </c>
      <c r="P7" t="s">
        <v>15</v>
      </c>
      <c r="R7" t="s">
        <v>48</v>
      </c>
      <c r="S7" t="s">
        <v>222</v>
      </c>
    </row>
    <row r="8" spans="1:19" ht="42" thickBot="1" x14ac:dyDescent="0.35">
      <c r="A8" s="3" t="s">
        <v>216</v>
      </c>
      <c r="B8" s="3" t="s">
        <v>44</v>
      </c>
      <c r="C8" s="4" t="s">
        <v>217</v>
      </c>
      <c r="D8" s="9" t="s">
        <v>230</v>
      </c>
      <c r="I8" s="11" t="s">
        <v>204</v>
      </c>
      <c r="K8" s="11" t="s">
        <v>210</v>
      </c>
      <c r="O8" t="s">
        <v>216</v>
      </c>
      <c r="P8" t="s">
        <v>22</v>
      </c>
      <c r="R8" t="s">
        <v>201</v>
      </c>
      <c r="S8" t="s">
        <v>33</v>
      </c>
    </row>
    <row r="9" spans="1:19" ht="42" thickBot="1" x14ac:dyDescent="0.35">
      <c r="A9" s="3" t="s">
        <v>216</v>
      </c>
      <c r="B9" s="3" t="s">
        <v>44</v>
      </c>
      <c r="C9" s="4" t="s">
        <v>218</v>
      </c>
      <c r="D9" s="9" t="s">
        <v>230</v>
      </c>
      <c r="I9" s="11" t="s">
        <v>10</v>
      </c>
      <c r="K9" s="11" t="s">
        <v>211</v>
      </c>
      <c r="O9" t="s">
        <v>216</v>
      </c>
      <c r="P9" t="s">
        <v>48</v>
      </c>
      <c r="R9" t="s">
        <v>201</v>
      </c>
      <c r="S9" t="s">
        <v>34</v>
      </c>
    </row>
    <row r="10" spans="1:19" ht="42" thickBot="1" x14ac:dyDescent="0.35">
      <c r="A10" s="3" t="s">
        <v>216</v>
      </c>
      <c r="B10" s="3" t="s">
        <v>22</v>
      </c>
      <c r="C10" s="4" t="s">
        <v>219</v>
      </c>
      <c r="D10" s="9" t="s">
        <v>230</v>
      </c>
      <c r="I10" s="11" t="s">
        <v>35</v>
      </c>
      <c r="K10" s="11" t="s">
        <v>219</v>
      </c>
      <c r="O10" t="s">
        <v>216</v>
      </c>
      <c r="P10" t="s">
        <v>44</v>
      </c>
      <c r="R10" t="s">
        <v>200</v>
      </c>
      <c r="S10" t="s">
        <v>223</v>
      </c>
    </row>
    <row r="11" spans="1:19" ht="42" thickBot="1" x14ac:dyDescent="0.35">
      <c r="A11" s="3" t="s">
        <v>216</v>
      </c>
      <c r="B11" s="3" t="s">
        <v>22</v>
      </c>
      <c r="C11" s="4" t="s">
        <v>220</v>
      </c>
      <c r="D11" s="9" t="s">
        <v>230</v>
      </c>
      <c r="I11" s="11" t="s">
        <v>44</v>
      </c>
      <c r="K11" s="11" t="s">
        <v>213</v>
      </c>
      <c r="O11" t="s">
        <v>199</v>
      </c>
      <c r="P11" t="s">
        <v>202</v>
      </c>
      <c r="R11" t="s">
        <v>200</v>
      </c>
      <c r="S11" t="s">
        <v>224</v>
      </c>
    </row>
    <row r="12" spans="1:19" ht="42" thickBot="1" x14ac:dyDescent="0.35">
      <c r="A12" s="3" t="s">
        <v>216</v>
      </c>
      <c r="B12" s="3" t="s">
        <v>48</v>
      </c>
      <c r="C12" s="4" t="s">
        <v>221</v>
      </c>
      <c r="D12" s="9" t="s">
        <v>230</v>
      </c>
      <c r="I12" s="11" t="s">
        <v>203</v>
      </c>
      <c r="K12" s="11" t="s">
        <v>218</v>
      </c>
      <c r="O12" t="s">
        <v>199</v>
      </c>
      <c r="P12" t="s">
        <v>204</v>
      </c>
      <c r="R12" t="s">
        <v>202</v>
      </c>
      <c r="S12" t="s">
        <v>36</v>
      </c>
    </row>
    <row r="13" spans="1:19" ht="42" thickBot="1" x14ac:dyDescent="0.35">
      <c r="A13" s="3" t="s">
        <v>216</v>
      </c>
      <c r="B13" s="3" t="s">
        <v>48</v>
      </c>
      <c r="C13" s="4" t="s">
        <v>222</v>
      </c>
      <c r="D13" s="9" t="s">
        <v>230</v>
      </c>
      <c r="I13" s="11" t="s">
        <v>15</v>
      </c>
      <c r="K13" s="11" t="s">
        <v>36</v>
      </c>
      <c r="O13" t="s">
        <v>199</v>
      </c>
      <c r="P13" t="s">
        <v>203</v>
      </c>
      <c r="R13" t="s">
        <v>202</v>
      </c>
      <c r="S13" t="s">
        <v>227</v>
      </c>
    </row>
    <row r="14" spans="1:19" ht="42" thickBot="1" x14ac:dyDescent="0.35">
      <c r="A14" s="3" t="s">
        <v>69</v>
      </c>
      <c r="B14" s="3" t="s">
        <v>200</v>
      </c>
      <c r="C14" s="4" t="s">
        <v>223</v>
      </c>
      <c r="D14" s="9" t="s">
        <v>230</v>
      </c>
      <c r="K14" s="11" t="s">
        <v>227</v>
      </c>
      <c r="R14" t="s">
        <v>204</v>
      </c>
      <c r="S14" t="s">
        <v>229</v>
      </c>
    </row>
    <row r="15" spans="1:19" ht="42" thickBot="1" x14ac:dyDescent="0.35">
      <c r="A15" s="3" t="s">
        <v>69</v>
      </c>
      <c r="B15" s="3" t="s">
        <v>200</v>
      </c>
      <c r="C15" s="4" t="s">
        <v>224</v>
      </c>
      <c r="D15" s="9" t="s">
        <v>230</v>
      </c>
      <c r="K15" s="11" t="s">
        <v>39</v>
      </c>
      <c r="R15" t="s">
        <v>204</v>
      </c>
      <c r="S15" t="s">
        <v>228</v>
      </c>
    </row>
    <row r="16" spans="1:19" ht="42" thickBot="1" x14ac:dyDescent="0.35">
      <c r="A16" s="3" t="s">
        <v>69</v>
      </c>
      <c r="B16" s="3" t="s">
        <v>201</v>
      </c>
      <c r="C16" s="4" t="s">
        <v>33</v>
      </c>
      <c r="D16" s="9" t="s">
        <v>230</v>
      </c>
      <c r="K16" s="11" t="s">
        <v>40</v>
      </c>
      <c r="R16" t="s">
        <v>10</v>
      </c>
      <c r="S16" t="s">
        <v>213</v>
      </c>
    </row>
    <row r="17" spans="1:19" ht="42" thickBot="1" x14ac:dyDescent="0.35">
      <c r="A17" s="3" t="s">
        <v>69</v>
      </c>
      <c r="B17" s="3" t="s">
        <v>201</v>
      </c>
      <c r="C17" s="4" t="s">
        <v>34</v>
      </c>
      <c r="D17" s="9" t="s">
        <v>230</v>
      </c>
      <c r="K17" s="11" t="s">
        <v>215</v>
      </c>
      <c r="R17" t="s">
        <v>10</v>
      </c>
      <c r="S17" t="s">
        <v>212</v>
      </c>
    </row>
    <row r="18" spans="1:19" ht="42" thickBot="1" x14ac:dyDescent="0.35">
      <c r="A18" s="3" t="s">
        <v>69</v>
      </c>
      <c r="B18" s="3" t="s">
        <v>35</v>
      </c>
      <c r="C18" s="4" t="s">
        <v>225</v>
      </c>
      <c r="D18" s="9" t="s">
        <v>230</v>
      </c>
      <c r="K18" s="11" t="s">
        <v>222</v>
      </c>
      <c r="R18" t="s">
        <v>35</v>
      </c>
      <c r="S18" t="s">
        <v>226</v>
      </c>
    </row>
    <row r="19" spans="1:19" ht="42" thickBot="1" x14ac:dyDescent="0.35">
      <c r="A19" s="3" t="s">
        <v>69</v>
      </c>
      <c r="B19" s="3" t="s">
        <v>35</v>
      </c>
      <c r="C19" s="4" t="s">
        <v>226</v>
      </c>
      <c r="D19" s="9" t="s">
        <v>230</v>
      </c>
      <c r="K19" s="11" t="s">
        <v>217</v>
      </c>
      <c r="R19" t="s">
        <v>35</v>
      </c>
      <c r="S19" t="s">
        <v>225</v>
      </c>
    </row>
    <row r="20" spans="1:19" ht="42" thickBot="1" x14ac:dyDescent="0.35">
      <c r="A20" s="3" t="s">
        <v>199</v>
      </c>
      <c r="B20" s="3" t="s">
        <v>202</v>
      </c>
      <c r="C20" s="4" t="s">
        <v>36</v>
      </c>
      <c r="D20" s="9" t="s">
        <v>230</v>
      </c>
      <c r="K20" s="11" t="s">
        <v>34</v>
      </c>
      <c r="R20" t="s">
        <v>44</v>
      </c>
      <c r="S20" t="s">
        <v>218</v>
      </c>
    </row>
    <row r="21" spans="1:19" ht="42" thickBot="1" x14ac:dyDescent="0.35">
      <c r="A21" s="3" t="s">
        <v>199</v>
      </c>
      <c r="B21" s="3" t="s">
        <v>202</v>
      </c>
      <c r="C21" s="4" t="s">
        <v>227</v>
      </c>
      <c r="D21" s="9" t="s">
        <v>230</v>
      </c>
      <c r="K21" s="11" t="s">
        <v>212</v>
      </c>
      <c r="R21" t="s">
        <v>44</v>
      </c>
      <c r="S21" t="s">
        <v>217</v>
      </c>
    </row>
    <row r="22" spans="1:19" ht="42" thickBot="1" x14ac:dyDescent="0.35">
      <c r="A22" s="3" t="s">
        <v>199</v>
      </c>
      <c r="B22" s="3" t="s">
        <v>203</v>
      </c>
      <c r="C22" s="4" t="s">
        <v>39</v>
      </c>
      <c r="D22" s="9" t="s">
        <v>230</v>
      </c>
      <c r="K22" s="11" t="s">
        <v>225</v>
      </c>
      <c r="R22" t="s">
        <v>203</v>
      </c>
      <c r="S22" t="s">
        <v>39</v>
      </c>
    </row>
    <row r="23" spans="1:19" ht="42" thickBot="1" x14ac:dyDescent="0.35">
      <c r="A23" s="3" t="s">
        <v>199</v>
      </c>
      <c r="B23" s="3" t="s">
        <v>203</v>
      </c>
      <c r="C23" s="4" t="s">
        <v>40</v>
      </c>
      <c r="D23" s="9" t="s">
        <v>230</v>
      </c>
      <c r="K23" s="11" t="s">
        <v>220</v>
      </c>
      <c r="R23" t="s">
        <v>203</v>
      </c>
      <c r="S23" t="s">
        <v>40</v>
      </c>
    </row>
    <row r="24" spans="1:19" ht="42" thickBot="1" x14ac:dyDescent="0.35">
      <c r="A24" s="3" t="s">
        <v>199</v>
      </c>
      <c r="B24" s="3" t="s">
        <v>204</v>
      </c>
      <c r="C24" s="4" t="s">
        <v>228</v>
      </c>
      <c r="D24" s="9" t="s">
        <v>230</v>
      </c>
      <c r="K24" s="11" t="s">
        <v>228</v>
      </c>
      <c r="R24" t="s">
        <v>15</v>
      </c>
      <c r="S24" t="s">
        <v>214</v>
      </c>
    </row>
    <row r="25" spans="1:19" ht="42" thickBot="1" x14ac:dyDescent="0.35">
      <c r="A25" s="3" t="s">
        <v>199</v>
      </c>
      <c r="B25" s="3" t="s">
        <v>204</v>
      </c>
      <c r="C25" s="4" t="s">
        <v>229</v>
      </c>
      <c r="D25" s="9" t="s">
        <v>230</v>
      </c>
      <c r="K25" s="11" t="s">
        <v>224</v>
      </c>
      <c r="R25" t="s">
        <v>15</v>
      </c>
      <c r="S25" t="s">
        <v>215</v>
      </c>
    </row>
    <row r="26" spans="1:19" ht="42" thickBot="1" x14ac:dyDescent="0.35">
      <c r="A26" s="3" t="s">
        <v>198</v>
      </c>
      <c r="B26" s="3" t="s">
        <v>5</v>
      </c>
      <c r="C26" s="4" t="s">
        <v>210</v>
      </c>
      <c r="D26" s="9" t="s">
        <v>161</v>
      </c>
    </row>
    <row r="27" spans="1:19" ht="42" thickBot="1" x14ac:dyDescent="0.35">
      <c r="A27" s="3" t="s">
        <v>198</v>
      </c>
      <c r="B27" s="3" t="s">
        <v>5</v>
      </c>
      <c r="C27" s="4" t="s">
        <v>211</v>
      </c>
      <c r="D27" s="9" t="s">
        <v>161</v>
      </c>
    </row>
    <row r="28" spans="1:19" ht="42" thickBot="1" x14ac:dyDescent="0.35">
      <c r="A28" s="3" t="s">
        <v>198</v>
      </c>
      <c r="B28" s="3" t="s">
        <v>10</v>
      </c>
      <c r="C28" s="4" t="s">
        <v>212</v>
      </c>
      <c r="D28" s="9" t="s">
        <v>161</v>
      </c>
    </row>
    <row r="29" spans="1:19" ht="42" thickBot="1" x14ac:dyDescent="0.35">
      <c r="A29" s="3" t="s">
        <v>198</v>
      </c>
      <c r="B29" s="3" t="s">
        <v>10</v>
      </c>
      <c r="C29" s="4" t="s">
        <v>213</v>
      </c>
      <c r="D29" s="9" t="s">
        <v>161</v>
      </c>
    </row>
    <row r="30" spans="1:19" ht="42" thickBot="1" x14ac:dyDescent="0.35">
      <c r="A30" s="3" t="s">
        <v>198</v>
      </c>
      <c r="B30" s="3" t="s">
        <v>15</v>
      </c>
      <c r="C30" s="4" t="s">
        <v>214</v>
      </c>
      <c r="D30" s="9" t="s">
        <v>161</v>
      </c>
    </row>
    <row r="31" spans="1:19" ht="42" thickBot="1" x14ac:dyDescent="0.35">
      <c r="A31" s="3" t="s">
        <v>198</v>
      </c>
      <c r="B31" s="3" t="s">
        <v>15</v>
      </c>
      <c r="C31" s="4" t="s">
        <v>215</v>
      </c>
      <c r="D31" s="9" t="s">
        <v>161</v>
      </c>
    </row>
    <row r="32" spans="1:19" ht="42" thickBot="1" x14ac:dyDescent="0.35">
      <c r="A32" s="3" t="s">
        <v>216</v>
      </c>
      <c r="B32" s="3" t="s">
        <v>44</v>
      </c>
      <c r="C32" s="4" t="s">
        <v>217</v>
      </c>
      <c r="D32" s="9" t="s">
        <v>161</v>
      </c>
    </row>
    <row r="33" spans="1:4" ht="42" thickBot="1" x14ac:dyDescent="0.35">
      <c r="A33" s="3" t="s">
        <v>216</v>
      </c>
      <c r="B33" s="3" t="s">
        <v>44</v>
      </c>
      <c r="C33" s="4" t="s">
        <v>218</v>
      </c>
      <c r="D33" s="9" t="s">
        <v>161</v>
      </c>
    </row>
    <row r="34" spans="1:4" ht="42" thickBot="1" x14ac:dyDescent="0.35">
      <c r="A34" s="3" t="s">
        <v>216</v>
      </c>
      <c r="B34" s="3" t="s">
        <v>22</v>
      </c>
      <c r="C34" s="4" t="s">
        <v>219</v>
      </c>
      <c r="D34" s="9" t="s">
        <v>161</v>
      </c>
    </row>
    <row r="35" spans="1:4" ht="42" thickBot="1" x14ac:dyDescent="0.35">
      <c r="A35" s="3" t="s">
        <v>216</v>
      </c>
      <c r="B35" s="3" t="s">
        <v>22</v>
      </c>
      <c r="C35" s="4" t="s">
        <v>220</v>
      </c>
      <c r="D35" s="9" t="s">
        <v>161</v>
      </c>
    </row>
    <row r="36" spans="1:4" ht="42" thickBot="1" x14ac:dyDescent="0.35">
      <c r="A36" s="3" t="s">
        <v>216</v>
      </c>
      <c r="B36" s="3" t="s">
        <v>48</v>
      </c>
      <c r="C36" s="4" t="s">
        <v>221</v>
      </c>
      <c r="D36" s="9" t="s">
        <v>161</v>
      </c>
    </row>
    <row r="37" spans="1:4" ht="42" thickBot="1" x14ac:dyDescent="0.35">
      <c r="A37" s="3" t="s">
        <v>216</v>
      </c>
      <c r="B37" s="3" t="s">
        <v>48</v>
      </c>
      <c r="C37" s="4" t="s">
        <v>222</v>
      </c>
      <c r="D37" s="9" t="s">
        <v>161</v>
      </c>
    </row>
    <row r="38" spans="1:4" ht="42" thickBot="1" x14ac:dyDescent="0.35">
      <c r="A38" s="3" t="s">
        <v>69</v>
      </c>
      <c r="B38" s="3" t="s">
        <v>200</v>
      </c>
      <c r="C38" s="4" t="s">
        <v>223</v>
      </c>
      <c r="D38" s="9" t="s">
        <v>161</v>
      </c>
    </row>
    <row r="39" spans="1:4" ht="42" thickBot="1" x14ac:dyDescent="0.35">
      <c r="A39" s="3" t="s">
        <v>69</v>
      </c>
      <c r="B39" s="3" t="s">
        <v>200</v>
      </c>
      <c r="C39" s="4" t="s">
        <v>224</v>
      </c>
      <c r="D39" s="9" t="s">
        <v>161</v>
      </c>
    </row>
    <row r="40" spans="1:4" ht="42" thickBot="1" x14ac:dyDescent="0.35">
      <c r="A40" s="3" t="s">
        <v>69</v>
      </c>
      <c r="B40" s="3" t="s">
        <v>201</v>
      </c>
      <c r="C40" s="4" t="s">
        <v>33</v>
      </c>
      <c r="D40" s="9" t="s">
        <v>161</v>
      </c>
    </row>
    <row r="41" spans="1:4" ht="42" thickBot="1" x14ac:dyDescent="0.35">
      <c r="A41" s="3" t="s">
        <v>69</v>
      </c>
      <c r="B41" s="3" t="s">
        <v>201</v>
      </c>
      <c r="C41" s="4" t="s">
        <v>34</v>
      </c>
      <c r="D41" s="9" t="s">
        <v>161</v>
      </c>
    </row>
    <row r="42" spans="1:4" ht="42" thickBot="1" x14ac:dyDescent="0.35">
      <c r="A42" s="3" t="s">
        <v>69</v>
      </c>
      <c r="B42" s="3" t="s">
        <v>35</v>
      </c>
      <c r="C42" s="4" t="s">
        <v>225</v>
      </c>
      <c r="D42" s="9" t="s">
        <v>161</v>
      </c>
    </row>
    <row r="43" spans="1:4" ht="42" thickBot="1" x14ac:dyDescent="0.35">
      <c r="A43" s="3" t="s">
        <v>69</v>
      </c>
      <c r="B43" s="3" t="s">
        <v>35</v>
      </c>
      <c r="C43" s="4" t="s">
        <v>226</v>
      </c>
      <c r="D43" s="9" t="s">
        <v>161</v>
      </c>
    </row>
    <row r="44" spans="1:4" ht="42" thickBot="1" x14ac:dyDescent="0.35">
      <c r="A44" s="3" t="s">
        <v>199</v>
      </c>
      <c r="B44" s="3" t="s">
        <v>202</v>
      </c>
      <c r="C44" s="4" t="s">
        <v>36</v>
      </c>
      <c r="D44" s="9" t="s">
        <v>161</v>
      </c>
    </row>
    <row r="45" spans="1:4" ht="42" thickBot="1" x14ac:dyDescent="0.35">
      <c r="A45" s="3" t="s">
        <v>199</v>
      </c>
      <c r="B45" s="3" t="s">
        <v>202</v>
      </c>
      <c r="C45" s="4" t="s">
        <v>227</v>
      </c>
      <c r="D45" s="9" t="s">
        <v>161</v>
      </c>
    </row>
    <row r="46" spans="1:4" ht="42" thickBot="1" x14ac:dyDescent="0.35">
      <c r="A46" s="3" t="s">
        <v>199</v>
      </c>
      <c r="B46" s="3" t="s">
        <v>203</v>
      </c>
      <c r="C46" s="4" t="s">
        <v>39</v>
      </c>
      <c r="D46" s="9" t="s">
        <v>161</v>
      </c>
    </row>
    <row r="47" spans="1:4" ht="42" thickBot="1" x14ac:dyDescent="0.35">
      <c r="A47" s="3" t="s">
        <v>199</v>
      </c>
      <c r="B47" s="3" t="s">
        <v>203</v>
      </c>
      <c r="C47" s="4" t="s">
        <v>40</v>
      </c>
      <c r="D47" s="9" t="s">
        <v>161</v>
      </c>
    </row>
    <row r="48" spans="1:4" ht="42" thickBot="1" x14ac:dyDescent="0.35">
      <c r="A48" s="3" t="s">
        <v>199</v>
      </c>
      <c r="B48" s="3" t="s">
        <v>204</v>
      </c>
      <c r="C48" s="4" t="s">
        <v>228</v>
      </c>
      <c r="D48" s="9" t="s">
        <v>161</v>
      </c>
    </row>
    <row r="49" spans="1:4" ht="42" thickBot="1" x14ac:dyDescent="0.35">
      <c r="A49" s="3" t="s">
        <v>199</v>
      </c>
      <c r="B49" s="3" t="s">
        <v>204</v>
      </c>
      <c r="C49" s="4" t="s">
        <v>229</v>
      </c>
      <c r="D49" s="9" t="s">
        <v>161</v>
      </c>
    </row>
  </sheetData>
  <pageMargins left="0.7" right="0.7" top="0.75" bottom="0.75" header="0.3" footer="0.3"/>
  <pageSetup paperSize="9" orientation="portrait" r:id="rId7"/>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Summary of Action Plan</vt:lpstr>
      <vt:lpstr>Sheet1</vt:lpstr>
      <vt:lpstr>Sheet2</vt:lpstr>
      <vt:lpstr>Property Procurement Module</vt:lpstr>
      <vt:lpstr>Construction Management Module</vt:lpstr>
      <vt:lpstr>Tenancy Management Module</vt:lpstr>
      <vt:lpstr>Property Maintenance Module</vt:lpstr>
      <vt:lpstr>data</vt:lpstr>
      <vt:lpstr>Module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2024-03-19T17:00:07Z</dcterms:created>
  <dcterms:modified xsi:type="dcterms:W3CDTF">2024-03-23T20:07:43Z</dcterms:modified>
</cp:coreProperties>
</file>